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omputingservices-my.sharepoint.com/personal/lr962_bath_ac_uk/Documents/Experience/DCF Model/"/>
    </mc:Choice>
  </mc:AlternateContent>
  <xr:revisionPtr revIDLastSave="2688" documentId="8_{4892F77B-BE91-4EDE-A990-616A917874BE}" xr6:coauthVersionLast="47" xr6:coauthVersionMax="47" xr10:uidLastSave="{C13CA419-514D-4A3C-ABDE-59E063DDDB75}"/>
  <bookViews>
    <workbookView xWindow="11424" yWindow="0" windowWidth="11712" windowHeight="12336" firstSheet="11" activeTab="12" xr2:uid="{5B71CC2B-63BE-4C4E-9640-2E3275C09DF0}"/>
  </bookViews>
  <sheets>
    <sheet name="Cover" sheetId="1" r:id="rId1"/>
    <sheet name="Assumptions" sheetId="2" r:id="rId2"/>
    <sheet name="Income Statement" sheetId="3" r:id="rId3"/>
    <sheet name="Balance Sheet" sheetId="4" r:id="rId4"/>
    <sheet name="Cash Flow Statement" sheetId="5" r:id="rId5"/>
    <sheet name="Working Capital Schedule" sheetId="6" r:id="rId6"/>
    <sheet name="PP&amp;E Schedule" sheetId="7" r:id="rId7"/>
    <sheet name="Debt Schedule" sheetId="8" r:id="rId8"/>
    <sheet name="WACC" sheetId="9" r:id="rId9"/>
    <sheet name="DCF" sheetId="10" r:id="rId10"/>
    <sheet name="Terminal Value" sheetId="11" r:id="rId11"/>
    <sheet name="Sensitivity" sheetId="12" r:id="rId12"/>
    <sheet name="Football Field " sheetId="13" r:id="rId13"/>
  </sheets>
  <definedNames>
    <definedName name="_xlchart.v1.0" hidden="1">DCF!$G$33:$G$37</definedName>
    <definedName name="_xlchart.v1.1" hidden="1">DCF!$H$32</definedName>
    <definedName name="_xlchart.v1.2" hidden="1">DCF!$H$33:$H$37</definedName>
    <definedName name="_xlchart.v1.3" hidden="1">DCF!$B$33:$B$38</definedName>
    <definedName name="_xlchart.v1.4" hidden="1">DCF!$C$32</definedName>
    <definedName name="_xlchart.v1.5" hidden="1">DCF!$C$33:$C$38</definedName>
    <definedName name="_xlchart.v1.6" hidden="1">DCF!$D$32</definedName>
    <definedName name="_xlchart.v1.7" hidden="1">DCF!$D$33:$D$38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13" l="1"/>
  <c r="E4" i="13"/>
  <c r="I9" i="7"/>
  <c r="J9" i="7"/>
  <c r="K9" i="7"/>
  <c r="L9" i="7"/>
  <c r="C9" i="7"/>
  <c r="D9" i="7"/>
  <c r="E9" i="7"/>
  <c r="F9" i="7"/>
  <c r="G9" i="7"/>
  <c r="H9" i="7"/>
  <c r="I36" i="10"/>
  <c r="J36" i="10"/>
  <c r="K36" i="10"/>
  <c r="L36" i="10"/>
  <c r="H36" i="10"/>
  <c r="I16" i="6"/>
  <c r="J16" i="6"/>
  <c r="K16" i="6"/>
  <c r="L16" i="6"/>
  <c r="I17" i="6"/>
  <c r="J17" i="6"/>
  <c r="K17" i="6"/>
  <c r="L17" i="6"/>
  <c r="H17" i="6"/>
  <c r="H16" i="6"/>
  <c r="D17" i="6"/>
  <c r="E17" i="6"/>
  <c r="F17" i="6"/>
  <c r="G17" i="6"/>
  <c r="C17" i="6"/>
  <c r="D16" i="6"/>
  <c r="E16" i="6"/>
  <c r="F16" i="6"/>
  <c r="G16" i="6"/>
  <c r="C16" i="6"/>
  <c r="I15" i="6"/>
  <c r="J15" i="6"/>
  <c r="K15" i="6"/>
  <c r="L15" i="6"/>
  <c r="H15" i="6"/>
  <c r="D15" i="6"/>
  <c r="E15" i="6"/>
  <c r="F15" i="6"/>
  <c r="G15" i="6"/>
  <c r="C15" i="6"/>
  <c r="C37" i="10"/>
  <c r="C36" i="10"/>
  <c r="C48" i="2"/>
  <c r="C21" i="2"/>
  <c r="E9" i="10"/>
  <c r="F9" i="10"/>
  <c r="G9" i="10"/>
  <c r="D9" i="10"/>
  <c r="D6" i="7"/>
  <c r="D8" i="10" s="1"/>
  <c r="E6" i="7"/>
  <c r="E8" i="10" s="1"/>
  <c r="F6" i="7"/>
  <c r="F8" i="10" s="1"/>
  <c r="G6" i="7"/>
  <c r="G8" i="10" s="1"/>
  <c r="C6" i="7"/>
  <c r="C8" i="10" s="1"/>
  <c r="D19" i="5"/>
  <c r="C34" i="4"/>
  <c r="D6" i="6"/>
  <c r="E6" i="6"/>
  <c r="F6" i="6"/>
  <c r="G6" i="6"/>
  <c r="C45" i="2"/>
  <c r="C13" i="8"/>
  <c r="G13" i="5"/>
  <c r="G14" i="5" s="1"/>
  <c r="F13" i="5"/>
  <c r="F14" i="5" s="1"/>
  <c r="E13" i="5"/>
  <c r="E14" i="5" s="1"/>
  <c r="D13" i="5"/>
  <c r="D14" i="5" s="1"/>
  <c r="C14" i="5"/>
  <c r="C34" i="2"/>
  <c r="H8" i="9" s="1"/>
  <c r="C6" i="11"/>
  <c r="C10" i="8"/>
  <c r="C9" i="8"/>
  <c r="C11" i="8" s="1"/>
  <c r="C7" i="8"/>
  <c r="C6" i="8"/>
  <c r="C5" i="8"/>
  <c r="C8" i="8" s="1"/>
  <c r="H13" i="5"/>
  <c r="I13" i="5"/>
  <c r="J13" i="5"/>
  <c r="K13" i="5"/>
  <c r="L13" i="5"/>
  <c r="D8" i="7"/>
  <c r="E8" i="7"/>
  <c r="F8" i="7"/>
  <c r="G8" i="7"/>
  <c r="C8" i="7"/>
  <c r="E5" i="7"/>
  <c r="F5" i="7"/>
  <c r="G5" i="7"/>
  <c r="D5" i="7"/>
  <c r="D7" i="7"/>
  <c r="E7" i="7"/>
  <c r="F7" i="7"/>
  <c r="G7" i="7"/>
  <c r="C7" i="7"/>
  <c r="D7" i="6"/>
  <c r="E7" i="6"/>
  <c r="F7" i="6"/>
  <c r="G7" i="6"/>
  <c r="C7" i="6"/>
  <c r="C6" i="6"/>
  <c r="D5" i="6"/>
  <c r="E5" i="6"/>
  <c r="F5" i="6"/>
  <c r="G5" i="6"/>
  <c r="C5" i="6"/>
  <c r="C12" i="11"/>
  <c r="D19" i="10"/>
  <c r="E19" i="10"/>
  <c r="F19" i="10"/>
  <c r="G19" i="10"/>
  <c r="H19" i="10"/>
  <c r="I19" i="10"/>
  <c r="J19" i="10"/>
  <c r="K19" i="10"/>
  <c r="L19" i="10"/>
  <c r="C19" i="10"/>
  <c r="D17" i="10"/>
  <c r="E17" i="10"/>
  <c r="F17" i="10"/>
  <c r="G17" i="10"/>
  <c r="C17" i="10"/>
  <c r="D16" i="10"/>
  <c r="E16" i="10"/>
  <c r="F16" i="10"/>
  <c r="G16" i="10"/>
  <c r="C16" i="10"/>
  <c r="C25" i="2"/>
  <c r="C26" i="2"/>
  <c r="I5" i="9"/>
  <c r="J5" i="9"/>
  <c r="K5" i="9"/>
  <c r="L5" i="9"/>
  <c r="H5" i="9"/>
  <c r="C19" i="5"/>
  <c r="I18" i="5"/>
  <c r="J18" i="5"/>
  <c r="K18" i="5"/>
  <c r="L18" i="5"/>
  <c r="H18" i="5"/>
  <c r="E19" i="5"/>
  <c r="F19" i="5"/>
  <c r="G19" i="5"/>
  <c r="I12" i="5"/>
  <c r="J12" i="5"/>
  <c r="K12" i="5"/>
  <c r="L12" i="5"/>
  <c r="H12" i="5"/>
  <c r="G10" i="4"/>
  <c r="G18" i="4" s="1"/>
  <c r="D7" i="5"/>
  <c r="E7" i="5"/>
  <c r="F7" i="5"/>
  <c r="G7" i="5"/>
  <c r="D6" i="5"/>
  <c r="D7" i="10" s="1"/>
  <c r="E6" i="5"/>
  <c r="E7" i="10" s="1"/>
  <c r="F6" i="5"/>
  <c r="F7" i="10" s="1"/>
  <c r="G6" i="5"/>
  <c r="G7" i="10" s="1"/>
  <c r="C6" i="5"/>
  <c r="C7" i="10" s="1"/>
  <c r="H24" i="4"/>
  <c r="I24" i="4" s="1"/>
  <c r="J24" i="4" s="1"/>
  <c r="K24" i="4" s="1"/>
  <c r="L24" i="4" s="1"/>
  <c r="H22" i="4"/>
  <c r="H30" i="4"/>
  <c r="I30" i="4" s="1"/>
  <c r="J30" i="4" s="1"/>
  <c r="K30" i="4" s="1"/>
  <c r="L30" i="4" s="1"/>
  <c r="H29" i="4"/>
  <c r="I29" i="4" s="1"/>
  <c r="J29" i="4" s="1"/>
  <c r="K29" i="4" s="1"/>
  <c r="L29" i="4" s="1"/>
  <c r="H28" i="4"/>
  <c r="I28" i="4" s="1"/>
  <c r="J28" i="4" s="1"/>
  <c r="K28" i="4" s="1"/>
  <c r="L28" i="4" s="1"/>
  <c r="H25" i="4"/>
  <c r="I25" i="4" s="1"/>
  <c r="J25" i="4" s="1"/>
  <c r="K25" i="4" s="1"/>
  <c r="L25" i="4" s="1"/>
  <c r="H16" i="4"/>
  <c r="I16" i="4" s="1"/>
  <c r="J16" i="4" s="1"/>
  <c r="K16" i="4" s="1"/>
  <c r="L16" i="4" s="1"/>
  <c r="H15" i="4"/>
  <c r="I15" i="4" s="1"/>
  <c r="J15" i="4" s="1"/>
  <c r="K15" i="4" s="1"/>
  <c r="L15" i="4" s="1"/>
  <c r="H14" i="4"/>
  <c r="I14" i="4" s="1"/>
  <c r="J14" i="4" s="1"/>
  <c r="K14" i="4" s="1"/>
  <c r="L14" i="4" s="1"/>
  <c r="H13" i="4"/>
  <c r="I13" i="4" s="1"/>
  <c r="J13" i="4" s="1"/>
  <c r="K13" i="4" s="1"/>
  <c r="L13" i="4" s="1"/>
  <c r="H12" i="4"/>
  <c r="I12" i="4" s="1"/>
  <c r="J12" i="4" s="1"/>
  <c r="K12" i="4" s="1"/>
  <c r="L12" i="4" s="1"/>
  <c r="H6" i="4"/>
  <c r="I6" i="4" s="1"/>
  <c r="J6" i="4" s="1"/>
  <c r="K6" i="4" s="1"/>
  <c r="L6" i="4" s="1"/>
  <c r="C43" i="2"/>
  <c r="C44" i="2"/>
  <c r="C42" i="2"/>
  <c r="H5" i="7"/>
  <c r="D32" i="4"/>
  <c r="E32" i="4"/>
  <c r="F32" i="4"/>
  <c r="G32" i="4"/>
  <c r="C32" i="4"/>
  <c r="D23" i="4"/>
  <c r="D26" i="4" s="1"/>
  <c r="D34" i="4" s="1"/>
  <c r="E23" i="4"/>
  <c r="E26" i="4" s="1"/>
  <c r="E34" i="4" s="1"/>
  <c r="F23" i="4"/>
  <c r="F26" i="4" s="1"/>
  <c r="F34" i="4" s="1"/>
  <c r="G23" i="4"/>
  <c r="G26" i="4" s="1"/>
  <c r="G34" i="4" s="1"/>
  <c r="C23" i="4"/>
  <c r="C26" i="4" s="1"/>
  <c r="D10" i="4"/>
  <c r="D18" i="4" s="1"/>
  <c r="E10" i="4"/>
  <c r="E18" i="4" s="1"/>
  <c r="F10" i="4"/>
  <c r="F18" i="4" s="1"/>
  <c r="C10" i="4"/>
  <c r="C18" i="4" s="1"/>
  <c r="D8" i="3"/>
  <c r="D9" i="3" s="1"/>
  <c r="E8" i="3"/>
  <c r="E9" i="3" s="1"/>
  <c r="F8" i="3"/>
  <c r="F9" i="3" s="1"/>
  <c r="G8" i="3"/>
  <c r="G9" i="3" s="1"/>
  <c r="C8" i="3"/>
  <c r="C9" i="3" s="1"/>
  <c r="E6" i="3"/>
  <c r="F6" i="3"/>
  <c r="G6" i="3"/>
  <c r="D6" i="3"/>
  <c r="C22" i="2"/>
  <c r="C20" i="2"/>
  <c r="C15" i="2"/>
  <c r="C16" i="2"/>
  <c r="C17" i="2"/>
  <c r="C14" i="2"/>
  <c r="C9" i="2"/>
  <c r="C10" i="2"/>
  <c r="C11" i="2"/>
  <c r="C8" i="2"/>
  <c r="C7" i="2"/>
  <c r="H5" i="3" s="1"/>
  <c r="H6" i="3" s="1"/>
  <c r="K8" i="9" l="1"/>
  <c r="H19" i="3"/>
  <c r="H20" i="3"/>
  <c r="L8" i="9"/>
  <c r="H6" i="9"/>
  <c r="K6" i="9"/>
  <c r="L6" i="9"/>
  <c r="J6" i="9"/>
  <c r="I6" i="9"/>
  <c r="H6" i="7"/>
  <c r="H8" i="10" s="1"/>
  <c r="H35" i="10" s="1"/>
  <c r="H5" i="6"/>
  <c r="C8" i="6"/>
  <c r="F8" i="6"/>
  <c r="E8" i="6"/>
  <c r="D8" i="6"/>
  <c r="D9" i="6" s="1"/>
  <c r="H16" i="5"/>
  <c r="H19" i="5" s="1"/>
  <c r="C12" i="8"/>
  <c r="C14" i="8" s="1"/>
  <c r="K7" i="9"/>
  <c r="G8" i="6"/>
  <c r="G9" i="6" s="1"/>
  <c r="J8" i="9"/>
  <c r="J7" i="9"/>
  <c r="I7" i="9"/>
  <c r="H7" i="9"/>
  <c r="L7" i="9"/>
  <c r="I8" i="9"/>
  <c r="H8" i="5"/>
  <c r="H17" i="10"/>
  <c r="I22" i="4"/>
  <c r="F9" i="6"/>
  <c r="E9" i="6"/>
  <c r="H7" i="7"/>
  <c r="H21" i="4"/>
  <c r="H9" i="4"/>
  <c r="H17" i="4"/>
  <c r="G13" i="3"/>
  <c r="D13" i="3"/>
  <c r="F13" i="3"/>
  <c r="F14" i="3" s="1"/>
  <c r="C13" i="3"/>
  <c r="E13" i="3"/>
  <c r="E14" i="3" s="1"/>
  <c r="H11" i="3"/>
  <c r="H10" i="3"/>
  <c r="I5" i="3"/>
  <c r="H7" i="3"/>
  <c r="I21" i="4" l="1"/>
  <c r="I20" i="3"/>
  <c r="I19" i="3"/>
  <c r="J18" i="3"/>
  <c r="K18" i="3"/>
  <c r="L18" i="3"/>
  <c r="H18" i="3"/>
  <c r="I18" i="3"/>
  <c r="G16" i="3"/>
  <c r="G17" i="3" s="1"/>
  <c r="G14" i="3"/>
  <c r="C16" i="3"/>
  <c r="C14" i="3"/>
  <c r="D16" i="3"/>
  <c r="D17" i="3" s="1"/>
  <c r="D14" i="3"/>
  <c r="D5" i="10"/>
  <c r="D21" i="3"/>
  <c r="D23" i="3" s="1"/>
  <c r="G21" i="3"/>
  <c r="G23" i="3" s="1"/>
  <c r="G5" i="10"/>
  <c r="E16" i="3"/>
  <c r="E17" i="3" s="1"/>
  <c r="F16" i="3"/>
  <c r="F17" i="3" s="1"/>
  <c r="H10" i="9"/>
  <c r="K10" i="9"/>
  <c r="H11" i="5"/>
  <c r="L10" i="9"/>
  <c r="I17" i="4"/>
  <c r="H7" i="4"/>
  <c r="I11" i="3"/>
  <c r="I6" i="7"/>
  <c r="I8" i="10" s="1"/>
  <c r="I35" i="10" s="1"/>
  <c r="I5" i="6"/>
  <c r="I8" i="5"/>
  <c r="H8" i="3"/>
  <c r="H9" i="3" s="1"/>
  <c r="H7" i="6"/>
  <c r="H20" i="4" s="1"/>
  <c r="H23" i="4" s="1"/>
  <c r="H26" i="4" s="1"/>
  <c r="H6" i="6"/>
  <c r="H8" i="4" s="1"/>
  <c r="I9" i="4"/>
  <c r="J10" i="9"/>
  <c r="I10" i="9"/>
  <c r="J22" i="4"/>
  <c r="I17" i="10"/>
  <c r="I16" i="5"/>
  <c r="I19" i="5" s="1"/>
  <c r="H8" i="7"/>
  <c r="I5" i="7" s="1"/>
  <c r="I7" i="7" s="1"/>
  <c r="H15" i="3"/>
  <c r="I10" i="3"/>
  <c r="I7" i="3"/>
  <c r="J5" i="3"/>
  <c r="I6" i="3"/>
  <c r="D5" i="5" l="1"/>
  <c r="D9" i="5" s="1"/>
  <c r="D20" i="5" s="1"/>
  <c r="D24" i="3"/>
  <c r="G5" i="5"/>
  <c r="G9" i="5" s="1"/>
  <c r="G20" i="5" s="1"/>
  <c r="G24" i="3"/>
  <c r="J19" i="3"/>
  <c r="J20" i="3"/>
  <c r="C21" i="3"/>
  <c r="C23" i="3" s="1"/>
  <c r="C17" i="3"/>
  <c r="C5" i="10"/>
  <c r="E5" i="10"/>
  <c r="E21" i="3"/>
  <c r="E23" i="3" s="1"/>
  <c r="F5" i="10"/>
  <c r="F21" i="3"/>
  <c r="F23" i="3" s="1"/>
  <c r="H13" i="3"/>
  <c r="I11" i="5"/>
  <c r="J6" i="7"/>
  <c r="J8" i="10" s="1"/>
  <c r="J35" i="10" s="1"/>
  <c r="J5" i="6"/>
  <c r="J8" i="5"/>
  <c r="J17" i="4"/>
  <c r="J21" i="4"/>
  <c r="J9" i="4"/>
  <c r="I8" i="3"/>
  <c r="I9" i="3" s="1"/>
  <c r="I7" i="6"/>
  <c r="I20" i="4" s="1"/>
  <c r="I23" i="4" s="1"/>
  <c r="I26" i="4" s="1"/>
  <c r="I6" i="6"/>
  <c r="I8" i="4" s="1"/>
  <c r="H8" i="6"/>
  <c r="H9" i="6" s="1"/>
  <c r="I7" i="4"/>
  <c r="H11" i="4"/>
  <c r="K22" i="4"/>
  <c r="J16" i="5"/>
  <c r="J19" i="5" s="1"/>
  <c r="J17" i="10"/>
  <c r="H14" i="5"/>
  <c r="I8" i="7"/>
  <c r="J5" i="7" s="1"/>
  <c r="J7" i="7" s="1"/>
  <c r="I15" i="3"/>
  <c r="H6" i="5"/>
  <c r="H7" i="10" s="1"/>
  <c r="H34" i="10" s="1"/>
  <c r="J11" i="3"/>
  <c r="J10" i="3"/>
  <c r="J6" i="3"/>
  <c r="J7" i="3"/>
  <c r="K5" i="3"/>
  <c r="F5" i="5" l="1"/>
  <c r="F9" i="5" s="1"/>
  <c r="F20" i="5" s="1"/>
  <c r="F24" i="3"/>
  <c r="E5" i="5"/>
  <c r="E9" i="5" s="1"/>
  <c r="E20" i="5" s="1"/>
  <c r="E24" i="3"/>
  <c r="C5" i="5"/>
  <c r="C9" i="5" s="1"/>
  <c r="C20" i="5" s="1"/>
  <c r="C24" i="3"/>
  <c r="K19" i="3"/>
  <c r="K20" i="3"/>
  <c r="H7" i="5"/>
  <c r="H9" i="10"/>
  <c r="H16" i="3"/>
  <c r="H17" i="3" s="1"/>
  <c r="H14" i="3"/>
  <c r="I13" i="3"/>
  <c r="I14" i="3" s="1"/>
  <c r="K5" i="6"/>
  <c r="K6" i="7"/>
  <c r="K8" i="10" s="1"/>
  <c r="K35" i="10" s="1"/>
  <c r="K9" i="4"/>
  <c r="K17" i="4"/>
  <c r="K21" i="4"/>
  <c r="K8" i="5"/>
  <c r="J8" i="3"/>
  <c r="J9" i="3" s="1"/>
  <c r="J6" i="6"/>
  <c r="J8" i="4" s="1"/>
  <c r="J7" i="6"/>
  <c r="J20" i="4" s="1"/>
  <c r="J23" i="4" s="1"/>
  <c r="J26" i="4" s="1"/>
  <c r="J7" i="4"/>
  <c r="J11" i="5"/>
  <c r="I8" i="6"/>
  <c r="I9" i="6" s="1"/>
  <c r="I9" i="10" s="1"/>
  <c r="L22" i="4"/>
  <c r="K16" i="5"/>
  <c r="K19" i="5" s="1"/>
  <c r="K17" i="10"/>
  <c r="I11" i="4"/>
  <c r="J8" i="7"/>
  <c r="K5" i="7" s="1"/>
  <c r="K7" i="7" s="1"/>
  <c r="J15" i="3"/>
  <c r="I14" i="5"/>
  <c r="I6" i="5"/>
  <c r="I7" i="10" s="1"/>
  <c r="I34" i="10" s="1"/>
  <c r="K11" i="3"/>
  <c r="K10" i="3"/>
  <c r="L5" i="3"/>
  <c r="K6" i="3"/>
  <c r="K7" i="3"/>
  <c r="I16" i="3" l="1"/>
  <c r="I21" i="3" s="1"/>
  <c r="I22" i="3" s="1"/>
  <c r="I23" i="3" s="1"/>
  <c r="H5" i="10"/>
  <c r="H6" i="10" s="1"/>
  <c r="H21" i="3"/>
  <c r="H22" i="3" s="1"/>
  <c r="H23" i="3" s="1"/>
  <c r="H24" i="3" s="1"/>
  <c r="L20" i="3"/>
  <c r="L19" i="3"/>
  <c r="J8" i="6"/>
  <c r="J9" i="6" s="1"/>
  <c r="J9" i="10" s="1"/>
  <c r="I5" i="10"/>
  <c r="I6" i="10" s="1"/>
  <c r="K11" i="5"/>
  <c r="I7" i="5"/>
  <c r="K8" i="3"/>
  <c r="K9" i="3" s="1"/>
  <c r="K7" i="6"/>
  <c r="K20" i="4" s="1"/>
  <c r="K23" i="4" s="1"/>
  <c r="K26" i="4" s="1"/>
  <c r="K6" i="6"/>
  <c r="K8" i="4" s="1"/>
  <c r="L5" i="6"/>
  <c r="L6" i="7"/>
  <c r="L8" i="10" s="1"/>
  <c r="L35" i="10" s="1"/>
  <c r="L17" i="4"/>
  <c r="L9" i="4"/>
  <c r="L21" i="4"/>
  <c r="L8" i="5"/>
  <c r="J13" i="3"/>
  <c r="K7" i="4"/>
  <c r="J11" i="4"/>
  <c r="J6" i="5"/>
  <c r="J7" i="10" s="1"/>
  <c r="J34" i="10" s="1"/>
  <c r="L16" i="5"/>
  <c r="L19" i="5" s="1"/>
  <c r="L17" i="10"/>
  <c r="J14" i="5"/>
  <c r="K8" i="7"/>
  <c r="K11" i="4" s="1"/>
  <c r="K15" i="3"/>
  <c r="L11" i="3"/>
  <c r="L10" i="3"/>
  <c r="L7" i="3"/>
  <c r="L6" i="3"/>
  <c r="I10" i="10" l="1"/>
  <c r="I37" i="10" s="1"/>
  <c r="I33" i="10"/>
  <c r="H10" i="10"/>
  <c r="H37" i="10" s="1"/>
  <c r="H33" i="10"/>
  <c r="I17" i="3"/>
  <c r="I5" i="5"/>
  <c r="I9" i="5" s="1"/>
  <c r="I20" i="5" s="1"/>
  <c r="I24" i="3"/>
  <c r="J16" i="3"/>
  <c r="J17" i="3" s="1"/>
  <c r="J14" i="3"/>
  <c r="K13" i="3"/>
  <c r="K14" i="3" s="1"/>
  <c r="L7" i="4"/>
  <c r="L8" i="3"/>
  <c r="L9" i="3" s="1"/>
  <c r="L6" i="6"/>
  <c r="L8" i="4" s="1"/>
  <c r="L7" i="6"/>
  <c r="L20" i="4" s="1"/>
  <c r="L23" i="4" s="1"/>
  <c r="L26" i="4" s="1"/>
  <c r="L11" i="5"/>
  <c r="K8" i="6"/>
  <c r="K9" i="6" s="1"/>
  <c r="K9" i="10" s="1"/>
  <c r="J7" i="5"/>
  <c r="H5" i="5"/>
  <c r="H9" i="5" s="1"/>
  <c r="H20" i="5" s="1"/>
  <c r="H5" i="4" s="1"/>
  <c r="H16" i="10" s="1"/>
  <c r="H31" i="4"/>
  <c r="I31" i="4" s="1"/>
  <c r="L5" i="7"/>
  <c r="L7" i="7" s="1"/>
  <c r="K6" i="5"/>
  <c r="K7" i="10" s="1"/>
  <c r="K34" i="10" s="1"/>
  <c r="K14" i="5"/>
  <c r="J21" i="3" l="1"/>
  <c r="J22" i="3" s="1"/>
  <c r="J23" i="3" s="1"/>
  <c r="J5" i="5" s="1"/>
  <c r="J9" i="5" s="1"/>
  <c r="J20" i="5" s="1"/>
  <c r="K16" i="3"/>
  <c r="K17" i="3" s="1"/>
  <c r="J5" i="10"/>
  <c r="J6" i="10" s="1"/>
  <c r="L13" i="3"/>
  <c r="K7" i="5"/>
  <c r="L8" i="6"/>
  <c r="L9" i="6" s="1"/>
  <c r="L9" i="10" s="1"/>
  <c r="H32" i="4"/>
  <c r="H10" i="4"/>
  <c r="H18" i="4" s="1"/>
  <c r="I5" i="4"/>
  <c r="L8" i="7"/>
  <c r="L11" i="4" s="1"/>
  <c r="L15" i="3"/>
  <c r="I32" i="4"/>
  <c r="J31" i="4" l="1"/>
  <c r="J10" i="10"/>
  <c r="J37" i="10" s="1"/>
  <c r="J33" i="10"/>
  <c r="J24" i="3"/>
  <c r="K5" i="10"/>
  <c r="K6" i="10" s="1"/>
  <c r="K21" i="3"/>
  <c r="K22" i="3" s="1"/>
  <c r="K23" i="3" s="1"/>
  <c r="K5" i="5" s="1"/>
  <c r="K9" i="5" s="1"/>
  <c r="K20" i="5" s="1"/>
  <c r="J5" i="4"/>
  <c r="J10" i="4" s="1"/>
  <c r="J18" i="4" s="1"/>
  <c r="C11" i="11"/>
  <c r="C13" i="11" s="1"/>
  <c r="L14" i="3"/>
  <c r="H34" i="4"/>
  <c r="L16" i="3"/>
  <c r="L17" i="3" s="1"/>
  <c r="L7" i="5"/>
  <c r="I10" i="4"/>
  <c r="I18" i="4" s="1"/>
  <c r="I34" i="4" s="1"/>
  <c r="I16" i="10"/>
  <c r="J32" i="4"/>
  <c r="L6" i="5"/>
  <c r="L7" i="10" s="1"/>
  <c r="L34" i="10" s="1"/>
  <c r="L14" i="5"/>
  <c r="K10" i="10" l="1"/>
  <c r="K37" i="10" s="1"/>
  <c r="K33" i="10"/>
  <c r="K31" i="4"/>
  <c r="K24" i="3"/>
  <c r="J16" i="10"/>
  <c r="K5" i="4"/>
  <c r="K10" i="4" s="1"/>
  <c r="K18" i="4" s="1"/>
  <c r="J34" i="4"/>
  <c r="L21" i="3"/>
  <c r="L5" i="10"/>
  <c r="L6" i="10" s="1"/>
  <c r="K32" i="4"/>
  <c r="L10" i="10" l="1"/>
  <c r="L37" i="10" s="1"/>
  <c r="L33" i="10"/>
  <c r="K16" i="10"/>
  <c r="C5" i="11"/>
  <c r="K34" i="4"/>
  <c r="L22" i="3"/>
  <c r="L23" i="3" s="1"/>
  <c r="L24" i="3" s="1"/>
  <c r="L5" i="5" l="1"/>
  <c r="L9" i="5" s="1"/>
  <c r="L20" i="5" s="1"/>
  <c r="L5" i="4" s="1"/>
  <c r="L31" i="4"/>
  <c r="L32" i="4" s="1"/>
  <c r="L16" i="10" l="1"/>
  <c r="L10" i="4"/>
  <c r="L18" i="4" s="1"/>
  <c r="L34" i="4" s="1"/>
  <c r="J9" i="9" l="1"/>
  <c r="J12" i="10" s="1"/>
  <c r="J13" i="10" s="1"/>
  <c r="I9" i="9"/>
  <c r="I12" i="10" s="1"/>
  <c r="I13" i="10" s="1"/>
  <c r="K9" i="9"/>
  <c r="K12" i="10" s="1"/>
  <c r="K13" i="10" s="1"/>
  <c r="H9" i="9"/>
  <c r="H12" i="10" s="1"/>
  <c r="H13" i="10" s="1"/>
  <c r="L9" i="9"/>
  <c r="L12" i="10" l="1"/>
  <c r="L13" i="10" s="1"/>
  <c r="C14" i="10" s="1"/>
  <c r="C33" i="10" s="1"/>
  <c r="C7" i="11"/>
  <c r="C9" i="11" l="1"/>
  <c r="C14" i="11" s="1"/>
  <c r="C21" i="10" s="1"/>
  <c r="C22" i="10" s="1"/>
  <c r="C15" i="11"/>
  <c r="D15" i="11" s="1"/>
  <c r="C8" i="11"/>
  <c r="C10" i="11" l="1"/>
  <c r="C34" i="10" s="1"/>
  <c r="C23" i="10"/>
  <c r="C15" i="10" l="1"/>
  <c r="I18" i="10" s="1"/>
  <c r="I20" i="10" s="1"/>
  <c r="D5" i="13"/>
  <c r="C5" i="13"/>
  <c r="C18" i="10" l="1"/>
  <c r="C20" i="10" s="1"/>
  <c r="D18" i="10"/>
  <c r="D20" i="10" s="1"/>
  <c r="C35" i="10"/>
  <c r="H18" i="10"/>
  <c r="H20" i="10" s="1"/>
  <c r="E18" i="10"/>
  <c r="E20" i="10" s="1"/>
  <c r="F18" i="10"/>
  <c r="F20" i="10" s="1"/>
  <c r="K18" i="10"/>
  <c r="K20" i="10" s="1"/>
  <c r="J18" i="10"/>
  <c r="J20" i="10" s="1"/>
  <c r="G18" i="10"/>
  <c r="G20" i="10" s="1"/>
  <c r="L18" i="10"/>
  <c r="L20" i="10" s="1"/>
  <c r="D4" i="13" l="1"/>
  <c r="C3" i="12"/>
  <c r="C4" i="13"/>
  <c r="C3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Lewis Redmond</author>
  </authors>
  <commentList>
    <comment ref="C45" authorId="0" shapeId="0" xr:uid="{A937D71C-E860-4CD5-B10B-59BBDC961146}">
      <text>
        <r>
          <rPr>
            <b/>
            <sz val="9"/>
            <color indexed="81"/>
            <rFont val="Tahoma"/>
            <family val="2"/>
          </rPr>
          <t>Lewis Redmond:</t>
        </r>
        <r>
          <rPr>
            <sz val="9"/>
            <color indexed="81"/>
            <rFont val="Tahoma"/>
            <family val="2"/>
          </rPr>
          <t xml:space="preserve">
FY2026A Other Income is excluded as non-recurring</t>
        </r>
      </text>
    </comment>
  </commentList>
</comments>
</file>

<file path=xl/sharedStrings.xml><?xml version="1.0" encoding="utf-8"?>
<sst xmlns="http://schemas.openxmlformats.org/spreadsheetml/2006/main" count="383" uniqueCount="260">
  <si>
    <t>NVIDIA CORPORATION</t>
  </si>
  <si>
    <t>Discounted Cash Flow Valuation Model</t>
  </si>
  <si>
    <t>As of LTM Q3 FY2026 | Ticker: NVDA | Exchange: NASDAQ</t>
  </si>
  <si>
    <t>TABLE OF CONTENTS</t>
  </si>
  <si>
    <t>1. Assumptions</t>
  </si>
  <si>
    <t>2. Income Statement</t>
  </si>
  <si>
    <t>3. Balance Sheet</t>
  </si>
  <si>
    <t>4. Cash Flow Statement</t>
  </si>
  <si>
    <t>5. Working Capital Schedule</t>
  </si>
  <si>
    <t>6. PP&amp;E Schedule</t>
  </si>
  <si>
    <t>7. Debt Schedule</t>
  </si>
  <si>
    <t>8. WACC</t>
  </si>
  <si>
    <t>9. DCF</t>
  </si>
  <si>
    <t>10. Terminal Value</t>
  </si>
  <si>
    <t>11. Sensitivity</t>
  </si>
  <si>
    <t>12. Football Field / Output</t>
  </si>
  <si>
    <t>1. GLOBAL MODEL SETTINGS</t>
  </si>
  <si>
    <t>Active Scenario Switch (1=Bear, 2=Base, 3=Bull)</t>
  </si>
  <si>
    <t>Valuation Date</t>
  </si>
  <si>
    <t>2. REVENUE GROWTH DRIVERS</t>
  </si>
  <si>
    <t>Bear</t>
  </si>
  <si>
    <t>Base</t>
  </si>
  <si>
    <t>Bull</t>
  </si>
  <si>
    <t>3. OPERATING COST MARGINS (% OF REVENUE)</t>
  </si>
  <si>
    <t>Target Gross Margin</t>
  </si>
  <si>
    <t>Target SG&amp;A Margin</t>
  </si>
  <si>
    <t>Target R&amp;D Margin</t>
  </si>
  <si>
    <t>Target Effective Tax Rate</t>
  </si>
  <si>
    <t>4. OPERATING WORKING CAPITAL DRIVERS</t>
  </si>
  <si>
    <t>Days Sales Outstanding (DSO)</t>
  </si>
  <si>
    <t>Days Inventory Outstanding (DIO)</t>
  </si>
  <si>
    <t>5. PP&amp;E AND REINVESTMENT DRIVERS</t>
  </si>
  <si>
    <t>Capital Expenditures (Capex) as % of Revenue</t>
  </si>
  <si>
    <t>Depreciation Rate (% of Beginning PP&amp;E)</t>
  </si>
  <si>
    <t>6. COST OF CAPITAL (WACC) INPUTS</t>
  </si>
  <si>
    <t>Risk-Free Rate (10-Year US Treasury Yield</t>
  </si>
  <si>
    <t>Equity Risk Premium (ERP)</t>
  </si>
  <si>
    <t>Pre-Tax Cost of Debt</t>
  </si>
  <si>
    <t>Market Value of Equity (Market Cap)</t>
  </si>
  <si>
    <t>Market Value of Debt</t>
  </si>
  <si>
    <t>7. VALUATION TERMINAL PARAMETERS</t>
  </si>
  <si>
    <t>Diluted Shares Outstanding</t>
  </si>
  <si>
    <t>All Cell Documentation Complete</t>
  </si>
  <si>
    <t>Item</t>
  </si>
  <si>
    <t>FY2022A</t>
  </si>
  <si>
    <t>FY2023A</t>
  </si>
  <si>
    <t>FY2024A</t>
  </si>
  <si>
    <t>FY2025A</t>
  </si>
  <si>
    <t>Revenue</t>
  </si>
  <si>
    <t>% growth</t>
  </si>
  <si>
    <t>COGS</t>
  </si>
  <si>
    <t>Gross Profit</t>
  </si>
  <si>
    <t>FY2026A</t>
  </si>
  <si>
    <t>Year 1 (FY2027E) Revenue Growth</t>
  </si>
  <si>
    <t>Year 2 (FY2028E) Revenue Growth</t>
  </si>
  <si>
    <t>Year 3 (FY2029E) Revenue Growth</t>
  </si>
  <si>
    <t>Year 4 (FY2030E) Revenue Growth</t>
  </si>
  <si>
    <t>Year 5 (FY2031E) Revenue Growth</t>
  </si>
  <si>
    <t>Jan 25, 2026</t>
  </si>
  <si>
    <t>n/a</t>
  </si>
  <si>
    <t>FY2027E</t>
  </si>
  <si>
    <t>FY2028E</t>
  </si>
  <si>
    <t>FY2029E</t>
  </si>
  <si>
    <t>FY2030E</t>
  </si>
  <si>
    <t>FY2031E</t>
  </si>
  <si>
    <t>SG&amp;A</t>
  </si>
  <si>
    <t>R&amp;D</t>
  </si>
  <si>
    <t>EBITDA</t>
  </si>
  <si>
    <t>D&amp;A</t>
  </si>
  <si>
    <t>EBIT</t>
  </si>
  <si>
    <t>Interest Expense</t>
  </si>
  <si>
    <t>Interest Income</t>
  </si>
  <si>
    <t>Pre-Tax Income</t>
  </si>
  <si>
    <t>Taxes</t>
  </si>
  <si>
    <t>Net Income</t>
  </si>
  <si>
    <t>Other income / expense</t>
  </si>
  <si>
    <t>Acquisition termination cost</t>
  </si>
  <si>
    <t>Days Payable Outstanding (DPO)</t>
  </si>
  <si>
    <t>Cash &amp; Equivalents</t>
  </si>
  <si>
    <t>Accounts Receivable</t>
  </si>
  <si>
    <t>Inventory</t>
  </si>
  <si>
    <t>Prepaid Expenses</t>
  </si>
  <si>
    <t>Total Current Assets</t>
  </si>
  <si>
    <t>ASSETS</t>
  </si>
  <si>
    <t>Non-Current Assets</t>
  </si>
  <si>
    <t>PP&amp;E</t>
  </si>
  <si>
    <t>Intangible Assets</t>
  </si>
  <si>
    <t>Goodwill</t>
  </si>
  <si>
    <t>Total Assets</t>
  </si>
  <si>
    <t>LIABILITIES</t>
  </si>
  <si>
    <t>Current Assets</t>
  </si>
  <si>
    <t>Current Liabilities</t>
  </si>
  <si>
    <t>Accounts Payable</t>
  </si>
  <si>
    <t>Accrued Expenses</t>
  </si>
  <si>
    <t>Short-Term Debt</t>
  </si>
  <si>
    <t>Total Current Liabilities</t>
  </si>
  <si>
    <t>Non-Current Liabilities</t>
  </si>
  <si>
    <t>Long-Term Debt</t>
  </si>
  <si>
    <t>Deferred Tax Liabilities</t>
  </si>
  <si>
    <t>Total Liabilities</t>
  </si>
  <si>
    <t>EQUITY</t>
  </si>
  <si>
    <t>Common Stock</t>
  </si>
  <si>
    <t>Retained Earnings</t>
  </si>
  <si>
    <t>Total Equity</t>
  </si>
  <si>
    <t>Historical</t>
  </si>
  <si>
    <t>Projected</t>
  </si>
  <si>
    <t>CASH FLOW FROM OPERATIONS (CFO)</t>
  </si>
  <si>
    <t>Changes in Working Capital</t>
  </si>
  <si>
    <t>Other non-cash adjustments</t>
  </si>
  <si>
    <t>CFO</t>
  </si>
  <si>
    <t>CASH FLOW FROM INVESTING (CFI)</t>
  </si>
  <si>
    <t>Capital Expenditures</t>
  </si>
  <si>
    <t>Acquisitions/Divestitures</t>
  </si>
  <si>
    <t>Other investing activities</t>
  </si>
  <si>
    <t>CFI</t>
  </si>
  <si>
    <t>CASH FLOW FROM FINANCING (CFF)</t>
  </si>
  <si>
    <t>Debt issuance/repayment</t>
  </si>
  <si>
    <t>Equity issuance/buybacks</t>
  </si>
  <si>
    <t>Dividends paid</t>
  </si>
  <si>
    <t>CFF</t>
  </si>
  <si>
    <t>Net Change in Cash</t>
  </si>
  <si>
    <t>AR</t>
  </si>
  <si>
    <t>AP</t>
  </si>
  <si>
    <t>Net Working Capital</t>
  </si>
  <si>
    <t>Change in NWC</t>
  </si>
  <si>
    <t>Beginning Net PP&amp;E</t>
  </si>
  <si>
    <t>Capex</t>
  </si>
  <si>
    <t>Depreciation</t>
  </si>
  <si>
    <t>Ending Net PP&amp;E</t>
  </si>
  <si>
    <t>NOPAT</t>
  </si>
  <si>
    <t>FCFF</t>
  </si>
  <si>
    <t>Discount Period</t>
  </si>
  <si>
    <t>Discount Factor</t>
  </si>
  <si>
    <t>PV of FCFF</t>
  </si>
  <si>
    <t>Enterprise Value</t>
  </si>
  <si>
    <t>Cash</t>
  </si>
  <si>
    <t>Total Debt</t>
  </si>
  <si>
    <t>Equity Value</t>
  </si>
  <si>
    <t>Cost of Equity (Re)</t>
  </si>
  <si>
    <t>After-Tax Cost of Debt</t>
  </si>
  <si>
    <t>E/V</t>
  </si>
  <si>
    <t>D/V</t>
  </si>
  <si>
    <t>WACC</t>
  </si>
  <si>
    <t>Marketable securities</t>
  </si>
  <si>
    <t>Operating lease assets</t>
  </si>
  <si>
    <t>Deferred income tax assets</t>
  </si>
  <si>
    <t>Other assets</t>
  </si>
  <si>
    <t>Non-marketable equity securities</t>
  </si>
  <si>
    <t>Additional paid-in capital</t>
  </si>
  <si>
    <t>Accumulated other comprehensive loss</t>
  </si>
  <si>
    <t>Prepaid as % of Revenue</t>
  </si>
  <si>
    <t>Accrued as % of Revenue</t>
  </si>
  <si>
    <t>Other Assets as % of Revenue</t>
  </si>
  <si>
    <t>Terminal Growth Rate (g)</t>
  </si>
  <si>
    <t>Other non-cash as % of Revenue</t>
  </si>
  <si>
    <t>Sum of PV</t>
  </si>
  <si>
    <t>-</t>
  </si>
  <si>
    <t>Last Year FCFF</t>
  </si>
  <si>
    <t>Terminal Growth Rate</t>
  </si>
  <si>
    <t>TV - Perpetuity Growth</t>
  </si>
  <si>
    <t>Last year Discount Factor</t>
  </si>
  <si>
    <t>PV of TV (Perpetuity)</t>
  </si>
  <si>
    <t>Last year EBITDA</t>
  </si>
  <si>
    <t>Exit Multiple</t>
  </si>
  <si>
    <t>TV - Exit Multiple</t>
  </si>
  <si>
    <t>PV of TV (Exit Multiple)</t>
  </si>
  <si>
    <t>Implied g (from Exit Multiple TV)</t>
  </si>
  <si>
    <t>Target Exit EBITDA Multiple (x)</t>
  </si>
  <si>
    <t>Value</t>
  </si>
  <si>
    <t>Beginning LT Debt</t>
  </si>
  <si>
    <t>Repayments</t>
  </si>
  <si>
    <t>New Issuances</t>
  </si>
  <si>
    <t>Ending LT Debt</t>
  </si>
  <si>
    <t>Beginning ST Debt</t>
  </si>
  <si>
    <t>Ending ST Debt</t>
  </si>
  <si>
    <t>Interest Rate</t>
  </si>
  <si>
    <t>WACC vs Terminal Growth -&gt; Implied Share Price</t>
  </si>
  <si>
    <t>WACC Override</t>
  </si>
  <si>
    <t>Terminal Growth Override</t>
  </si>
  <si>
    <t>Method</t>
  </si>
  <si>
    <t>Low</t>
  </si>
  <si>
    <t>High</t>
  </si>
  <si>
    <t>DCF (Perpetuity Growth)</t>
  </si>
  <si>
    <t>DCF (Exit Multiple)</t>
  </si>
  <si>
    <t>Current Price</t>
  </si>
  <si>
    <t>BS Check</t>
  </si>
  <si>
    <t>For reference only</t>
  </si>
  <si>
    <t>Implied Share Prices</t>
  </si>
  <si>
    <t>EBITDA Margin</t>
  </si>
  <si>
    <t>EBIT Margin</t>
  </si>
  <si>
    <t>Gross Margin</t>
  </si>
  <si>
    <t>Net Income Margin</t>
  </si>
  <si>
    <t>WACC (Sensitivity Overide)</t>
  </si>
  <si>
    <t>WACC (Base Case Used in DCF)</t>
  </si>
  <si>
    <t>EV (Exit Multiple Method)</t>
  </si>
  <si>
    <t>Equity Value (Exit)</t>
  </si>
  <si>
    <t>Implied Share Price (Exit)</t>
  </si>
  <si>
    <t>Prepared by:</t>
  </si>
  <si>
    <t>Lewis Redmond</t>
  </si>
  <si>
    <t>Date Completed</t>
  </si>
  <si>
    <t>METHODOLOGY OVERVIEW</t>
  </si>
  <si>
    <t>Source</t>
  </si>
  <si>
    <t>8. BALANCE SHEET AUXILIARY DRIVERS</t>
  </si>
  <si>
    <t>Growth deceleration assumption. Peer semiconductor revenue CAGR ~8-10%</t>
  </si>
  <si>
    <t>Fade toward terminal growth rate. Reflects law of large numbers on $215B base.</t>
  </si>
  <si>
    <t>FY2026A actual 71.1% (10-K). 75% reflects CUDA software mix shift, FY2025A was 75%.</t>
  </si>
  <si>
    <t>NVIDIA FY2022-2026 10K. 5yr historical average 3.2%. 3% reflects operating leverage</t>
  </si>
  <si>
    <t>NVIDIA FY2022-2026 10K. FY2026A actual 8.6%. 9% reflects continued AI investment.</t>
  </si>
  <si>
    <t>NVIDIA FY2026 10-K consensus revenue estimates. 10% reflects continued Data Centre demand</t>
  </si>
  <si>
    <t>US statutory 21%. Normalised rate 25% above statutory to account for state taxes and international. FY2026A effective rate 12.5% which is unusually low due to SBC deductions.</t>
  </si>
  <si>
    <t>AR/Revenue calculation from 10-K FY2022-2026. FY2026A actual DSO = 65 days. 5yr average 61 days.</t>
  </si>
  <si>
    <t>Inventory/COGS calculation from 10-K FY2022-2026. FY2026A actual DIO = 125 days. 5yr average 123 days.</t>
  </si>
  <si>
    <t>FY2026 10-K. Derived FY2026A D&amp;A $2,843M / Beginning PP&amp;E $6,283M = 45%. Used 27% as conservative estimate.</t>
  </si>
  <si>
    <t>US Treasury website / Bloomberg. US 10-Year Treasury yield as of January 25, 2026.</t>
  </si>
  <si>
    <t>pages.stern.nyu.edu/~adamodar/. Damodaran implied ERP for US market.</t>
  </si>
  <si>
    <t>Damodaran industry betas. Relevered using semiconductor peer unleveraged beta.</t>
  </si>
  <si>
    <t>Yahoo Finance. NVIDIA market cap as of January 25, 2026.</t>
  </si>
  <si>
    <t>FY2026 10-K. NVIDIA effective borrowing rate. FY2026A interest expense / average debt = approximately 5.5%.</t>
  </si>
  <si>
    <t>CBO long-term projections. Long-run nominal US GDP growth. Within standard DCF range of 2-3%.</t>
  </si>
  <si>
    <t>Bloomberg consensus. Semiconductor peer median EV/EBITDA. Comparables: AMD, Broadcom, Qualcomm.</t>
  </si>
  <si>
    <t>FY2026 10-K. NVIDIA diluted shares outstanding.</t>
  </si>
  <si>
    <t>Relevered Beta (ϐ)</t>
  </si>
  <si>
    <t>WACC of 9.49% is effectively equal to the cost of equity at 9.50%, as debt is only 0.26% of total capital currently. This means the model's discount rate is almost entirely determined by three inputs: risk-free rate (4.0%), equity risk premium (5.0%) and beta (1.10). The near zero debt weighting also means the pre-tax cost of debt (5.5%) and the tax shield are irrelevant to the WACC output with a 1 percent change in cost of debt changing WACC by less than 0.01 percent.</t>
  </si>
  <si>
    <t>FY2026 10-K CFS. FY2026A Capex $6,042M = 2.8% of revenue. 6.5% reflects AI infrastructure build-out cycle. FY2027E Capex/D&amp;A ratio = 5.5x reflecting NVIDIA's accelerated AI infrastructure build-out. Ratio falls to 1.5x by FY2031E as PP&amp;E base grows. In true steady-state the ratio approaches 1.0x, the 5-year horizon may not be sufficient to fully normalise this.</t>
  </si>
  <si>
    <t>FY2026 10-K BS. Total Debt = ST $999M + LT $7,469M = $8,468M.</t>
  </si>
  <si>
    <t>FCFF grows from $94,189M in FY2027E to $127,487M in FY2031, a 5-year CAGR of 7.7%, reflecting relatively stable FCF conversion. The primary drag on FCF conversion is capital expenditure (6.5% of revenue), which in FY2027E produces Capex of $15,440M against Depreciation of only $2,803M, a 5.5x ratio reflecting NVIDIA's accelerated AI infrastructure investment cycle. This ratio narrows to 1.5x by FY2031E as the PP&amp;E base grows, but true steady-state is not reached within the forecast period, suggesting terminal year FCF may still incorporate above maintenance reinvestment. Working capital is a modest drag consuming $3,306M to $4,803M of cash annually as the business scales and receivables, inventory and payables grow proportionally.</t>
  </si>
  <si>
    <t>Type</t>
  </si>
  <si>
    <t>Sum of PV FCFs</t>
  </si>
  <si>
    <t>PV of TV</t>
  </si>
  <si>
    <t>Enterprise</t>
  </si>
  <si>
    <t>Debt</t>
  </si>
  <si>
    <t>Increase</t>
  </si>
  <si>
    <t>Total</t>
  </si>
  <si>
    <t>Decrease</t>
  </si>
  <si>
    <t>DSO (days)</t>
  </si>
  <si>
    <t>DIO (days)</t>
  </si>
  <si>
    <t>DPO (days)</t>
  </si>
  <si>
    <t>Add: D&amp;A</t>
  </si>
  <si>
    <t>Less: Capex</t>
  </si>
  <si>
    <r>
      <t xml:space="preserve">Less: </t>
    </r>
    <r>
      <rPr>
        <sz val="7.7"/>
        <color theme="1"/>
        <rFont val="Calibri"/>
        <family val="2"/>
      </rPr>
      <t>Change in NWC</t>
    </r>
  </si>
  <si>
    <t>Terminal Value represents 73.8% of Enterprise Value under the perpetuity growth method, consistent with the typical 60-80% range for established businesses with stable long-term economics. The 2.5% terminal growth rate is deliberately anchored to long-run US nominal GDP growth, acknowledging that no company can sustain above-economy growth indefinitely. The exit multiple method (11x EV/EBITDA) implies a perpetuity growth rate of 3.403%, marginally above the 3% ceiling, suggesting the exit multiple is slightly aggressive relative to the perpetuity assumption. The perpetuity growth method is treated as the primary output for conservatism. The spread between the two methods ($68.08 vs $75.80 per share) represents the terminal value uncertainty range and should be treated as a valuation band rather than two independent point estimates.</t>
  </si>
  <si>
    <t>All scenario drivers (Bear/Base/Bull), sourced and documented</t>
  </si>
  <si>
    <t>5yr historical + 5yr projected, full margin build</t>
  </si>
  <si>
    <t>5yr historical + 5yr projected, fully linked</t>
  </si>
  <si>
    <t>CFO/CFI/CFF, linked to all schedules</t>
  </si>
  <si>
    <t>Capex and depreciation roll-forward</t>
  </si>
  <si>
    <t>Interest expense build</t>
  </si>
  <si>
    <t>Cost of equity (CAPM), after-tax cost of debt, capital weights</t>
  </si>
  <si>
    <t>FCFF build, discounting, EV-to-equity bridge</t>
  </si>
  <si>
    <t>Perpetuity growth and exit multiple methods, cross-checked</t>
  </si>
  <si>
    <t>WACC x terminal growth data table</t>
  </si>
  <si>
    <t>Summary valuation range vs. market price</t>
  </si>
  <si>
    <t>DSO/DIO/DPO-driven AR, Inventory, AP</t>
  </si>
  <si>
    <t>This model values NVIDIA Corporation (NVDA) using a 5-year Discounted Cash Flow analysis (FY2027E-FY2031E), anchored to FY2026 reported financials. Free Cash Flow to the firm (FCFF) is projected under three scenarios (Bear/Base/Bull) and discounted at a WACC of 9.49%, reflecting NVIDIA's near-pure equity capital structure. Enterprise Value is bridged to Equity Value using FY2026A net cash of $54.1B. Terminal Value is estimated using both the Perpetuity Growth method (g=2.5%) and Exit Multiple method (11x EV/EBITDA), representing 73.8% of total Enterprise Value under the base case.</t>
  </si>
  <si>
    <t>AP/COGS calculation from 10-K FY2022-2026. FY2026A actual DPO = 57 days.</t>
  </si>
  <si>
    <t xml:space="preserve">Gross margin is projected to expand from 71.1% in FY2026A to 75.0% by FY2027E, reflecting the shift from gaming GPUs towards high margin Data Centre and AI accelerator revenues as well as growing software and CUDA ecosystem licence revenues. This assumption is consistent with FY2025A actual growth margin of 75.0% and management's stated target of sustained 70%+ gross margins. EBITDA margin expands reaches  63.0% from FY2027E onwards as SG&amp;A and R&amp;D scale more slowly than revenue. This operating leverage assumption is the main driver of the forecasted FCFF growth </t>
  </si>
  <si>
    <t>The sensitivity analysis confirms that NVIDIA's DCF valuation is most sensitive to the terminal growth rate. Moving from 1.5% to 3.5% terminal growth (at base case WACC of 9.49%) expands the implied share price from approximately $66 to $81. WACC sensitivity is comparably significant: moving from 7.49% to 11.49% (at base case growth of 2.5%) compresses the implied share price from $100.31 to $57.07. Critically, even at the most favourable corner of the matrix, the implied share price remains far below the current market price of $207.41, confirming that NVIDIA trades at a significant premium to a standard 5-year DCF intrinsic value under every modelled scenario.</t>
  </si>
  <si>
    <t>Capex/D&amp;A</t>
  </si>
  <si>
    <t>Range</t>
  </si>
  <si>
    <t xml:space="preserve">9. AUDIT TRACE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</si>
</sst>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x"/>
  </numFmts>
  <fonts count="15" x14ac:knownFonts="1">
    <font>
      <sz val="11"/>
      <color theme="1"/>
      <name val="Aptos Narrow"/>
      <family val="2"/>
      <scheme val="minor"/>
    </font>
    <font>
      <sz val="22"/>
      <color theme="0"/>
      <name val="Calibri"/>
      <family val="2"/>
    </font>
    <font>
      <i/>
      <sz val="14"/>
      <color theme="0"/>
      <name val="Calibri"/>
      <family val="2"/>
    </font>
    <font>
      <i/>
      <sz val="10"/>
      <color theme="3" tint="0.749992370372631"/>
      <name val="Calibri"/>
      <family val="2"/>
    </font>
    <font>
      <sz val="9"/>
      <color indexed="81"/>
      <name val="Tahoma"/>
      <family val="2"/>
    </font>
    <font>
      <b/>
      <sz val="9"/>
      <color indexed="81"/>
      <name val="Tahoma"/>
      <family val="2"/>
    </font>
    <font>
      <u/>
      <sz val="11"/>
      <color theme="10"/>
      <name val="Aptos Narrow"/>
      <family val="2"/>
      <scheme val="minor"/>
    </font>
    <font>
      <sz val="8"/>
      <color theme="1"/>
      <name val="Calibri"/>
      <family val="2"/>
    </font>
    <font>
      <sz val="11"/>
      <color theme="1"/>
      <name val="Calibri"/>
      <family val="2"/>
    </font>
    <font>
      <b/>
      <sz val="11"/>
      <color theme="0"/>
      <name val="Calibri"/>
      <family val="2"/>
    </font>
    <font>
      <sz val="11"/>
      <color theme="3"/>
      <name val="Calibri"/>
      <family val="2"/>
    </font>
    <font>
      <b/>
      <sz val="11"/>
      <color theme="1"/>
      <name val="Calibri"/>
      <family val="2"/>
    </font>
    <font>
      <i/>
      <sz val="11"/>
      <color theme="1"/>
      <name val="Calibri"/>
      <family val="2"/>
    </font>
    <font>
      <sz val="7.7"/>
      <color theme="1"/>
      <name val="Calibri"/>
      <family val="2"/>
    </font>
    <font>
      <u/>
      <sz val="11"/>
      <color theme="1"/>
      <name val="Calibri"/>
      <family val="2"/>
    </font>
  </fonts>
  <fills count="11">
    <fill>
      <patternFill patternType="none"/>
    </fill>
    <fill>
      <patternFill patternType="gray125"/>
    </fill>
    <fill>
      <patternFill patternType="solid">
        <fgColor theme="3"/>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4"/>
        <bgColor indexed="64"/>
      </patternFill>
    </fill>
    <fill>
      <patternFill patternType="solid">
        <fgColor theme="2" tint="-0.249977111117893"/>
        <bgColor indexed="64"/>
      </patternFill>
    </fill>
    <fill>
      <patternFill patternType="solid">
        <fgColor theme="7"/>
        <bgColor indexed="64"/>
      </patternFill>
    </fill>
    <fill>
      <patternFill patternType="solid">
        <fgColor rgb="FF0070C0"/>
        <bgColor indexed="64"/>
      </patternFill>
    </fill>
    <fill>
      <patternFill patternType="solid">
        <fgColor rgb="FF0070C0"/>
        <bgColor theme="4"/>
      </patternFill>
    </fill>
    <fill>
      <patternFill patternType="solid">
        <fgColor theme="0"/>
        <bgColor theme="0" tint="-0.14999847407452621"/>
      </patternFill>
    </fill>
  </fills>
  <borders count="21">
    <border>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theme="1"/>
      </top>
      <bottom/>
      <diagonal/>
    </border>
    <border>
      <left/>
      <right/>
      <top style="thin">
        <color theme="1"/>
      </top>
      <bottom/>
      <diagonal/>
    </border>
    <border>
      <left/>
      <right/>
      <top/>
      <bottom style="thin">
        <color theme="1"/>
      </bottom>
      <diagonal/>
    </border>
    <border>
      <left style="thin">
        <color indexed="64"/>
      </left>
      <right style="thin">
        <color indexed="64"/>
      </right>
      <top/>
      <bottom style="thin">
        <color theme="1"/>
      </bottom>
      <diagonal/>
    </border>
    <border>
      <left/>
      <right style="thin">
        <color indexed="64"/>
      </right>
      <top/>
      <bottom style="thin">
        <color theme="1"/>
      </bottom>
      <diagonal/>
    </border>
  </borders>
  <cellStyleXfs count="2">
    <xf numFmtId="0" fontId="0" fillId="0" borderId="0"/>
    <xf numFmtId="0" fontId="6" fillId="0" borderId="0" applyNumberFormat="0" applyFill="0" applyBorder="0" applyAlignment="0" applyProtection="0"/>
  </cellStyleXfs>
  <cellXfs count="238">
    <xf numFmtId="0" fontId="0" fillId="0" borderId="0" xfId="0"/>
    <xf numFmtId="0" fontId="8" fillId="0" borderId="0" xfId="0" applyFont="1"/>
    <xf numFmtId="0" fontId="8" fillId="0" borderId="3" xfId="0" applyFont="1" applyBorder="1" applyAlignment="1">
      <alignment horizontal="right"/>
    </xf>
    <xf numFmtId="14" fontId="8" fillId="0" borderId="3" xfId="0" applyNumberFormat="1" applyFont="1" applyBorder="1"/>
    <xf numFmtId="0" fontId="9" fillId="8" borderId="7" xfId="0" applyFont="1" applyFill="1" applyBorder="1"/>
    <xf numFmtId="0" fontId="9" fillId="2" borderId="10" xfId="0" applyFont="1" applyFill="1" applyBorder="1"/>
    <xf numFmtId="0" fontId="9" fillId="2" borderId="8" xfId="0" applyFont="1" applyFill="1" applyBorder="1"/>
    <xf numFmtId="0" fontId="8" fillId="3" borderId="10" xfId="0" applyFont="1" applyFill="1" applyBorder="1"/>
    <xf numFmtId="3" fontId="8" fillId="3" borderId="8" xfId="0" applyNumberFormat="1" applyFont="1" applyFill="1" applyBorder="1"/>
    <xf numFmtId="0" fontId="8" fillId="0" borderId="13" xfId="0" applyFont="1" applyBorder="1"/>
    <xf numFmtId="164" fontId="8" fillId="0" borderId="4" xfId="0" applyNumberFormat="1" applyFont="1" applyBorder="1"/>
    <xf numFmtId="0" fontId="8" fillId="3" borderId="13" xfId="0" applyFont="1" applyFill="1" applyBorder="1"/>
    <xf numFmtId="166" fontId="8" fillId="3" borderId="4" xfId="0" applyNumberFormat="1" applyFont="1" applyFill="1" applyBorder="1"/>
    <xf numFmtId="3" fontId="8" fillId="0" borderId="4" xfId="0" applyNumberFormat="1" applyFont="1" applyBorder="1"/>
    <xf numFmtId="10" fontId="8" fillId="3" borderId="4" xfId="0" applyNumberFormat="1" applyFont="1" applyFill="1" applyBorder="1"/>
    <xf numFmtId="3" fontId="8" fillId="3" borderId="4" xfId="0" applyNumberFormat="1" applyFont="1" applyFill="1" applyBorder="1"/>
    <xf numFmtId="0" fontId="8" fillId="3" borderId="14" xfId="0" applyFont="1" applyFill="1" applyBorder="1"/>
    <xf numFmtId="166" fontId="8" fillId="3" borderId="3" xfId="0" applyNumberFormat="1" applyFont="1" applyFill="1" applyBorder="1"/>
    <xf numFmtId="0" fontId="8" fillId="4" borderId="4" xfId="0" applyFont="1" applyFill="1" applyBorder="1" applyAlignment="1">
      <alignment wrapText="1"/>
    </xf>
    <xf numFmtId="0" fontId="10" fillId="4" borderId="1" xfId="0" applyFont="1" applyFill="1" applyBorder="1"/>
    <xf numFmtId="0" fontId="8" fillId="0" borderId="3" xfId="0" applyFont="1" applyBorder="1"/>
    <xf numFmtId="0" fontId="8" fillId="0" borderId="2" xfId="0" applyFont="1" applyBorder="1"/>
    <xf numFmtId="0" fontId="8" fillId="0" borderId="7" xfId="0" applyFont="1" applyBorder="1"/>
    <xf numFmtId="0" fontId="9" fillId="7" borderId="11" xfId="0" applyFont="1" applyFill="1" applyBorder="1"/>
    <xf numFmtId="0" fontId="9" fillId="7" borderId="12" xfId="0" applyFont="1" applyFill="1" applyBorder="1"/>
    <xf numFmtId="0" fontId="9" fillId="2" borderId="8" xfId="0" applyFont="1" applyFill="1" applyBorder="1" applyAlignment="1">
      <alignment horizontal="center"/>
    </xf>
    <xf numFmtId="0" fontId="8" fillId="4" borderId="4" xfId="0" applyFont="1" applyFill="1" applyBorder="1" applyAlignment="1">
      <alignment horizontal="left" vertical="top" wrapText="1"/>
    </xf>
    <xf numFmtId="164" fontId="8" fillId="4" borderId="4" xfId="0" applyNumberFormat="1" applyFont="1" applyFill="1" applyBorder="1"/>
    <xf numFmtId="164" fontId="10" fillId="4" borderId="0" xfId="0" applyNumberFormat="1" applyFont="1" applyFill="1"/>
    <xf numFmtId="0" fontId="8" fillId="4" borderId="8" xfId="0" applyFont="1" applyFill="1" applyBorder="1" applyAlignment="1">
      <alignment wrapText="1"/>
    </xf>
    <xf numFmtId="0" fontId="8" fillId="0" borderId="4" xfId="0" applyFont="1" applyBorder="1" applyAlignment="1">
      <alignment horizontal="left" vertical="top" wrapText="1"/>
    </xf>
    <xf numFmtId="164" fontId="10" fillId="0" borderId="0" xfId="0" applyNumberFormat="1" applyFont="1"/>
    <xf numFmtId="0" fontId="8" fillId="0" borderId="4" xfId="0" applyFont="1" applyBorder="1" applyAlignment="1">
      <alignment wrapText="1"/>
    </xf>
    <xf numFmtId="0" fontId="8" fillId="4" borderId="3" xfId="0" applyFont="1" applyFill="1" applyBorder="1" applyAlignment="1">
      <alignment horizontal="left" vertical="top" wrapText="1"/>
    </xf>
    <xf numFmtId="164" fontId="8" fillId="4" borderId="3" xfId="0" applyNumberFormat="1" applyFont="1" applyFill="1" applyBorder="1"/>
    <xf numFmtId="164" fontId="10" fillId="4" borderId="7" xfId="0" applyNumberFormat="1" applyFont="1" applyFill="1" applyBorder="1"/>
    <xf numFmtId="0" fontId="8" fillId="0" borderId="5" xfId="0" applyFont="1" applyBorder="1"/>
    <xf numFmtId="0" fontId="8" fillId="4" borderId="4" xfId="0" applyFont="1" applyFill="1" applyBorder="1" applyAlignment="1">
      <alignment horizontal="left" vertical="top"/>
    </xf>
    <xf numFmtId="164" fontId="8" fillId="4" borderId="0" xfId="0" applyNumberFormat="1" applyFont="1" applyFill="1"/>
    <xf numFmtId="0" fontId="8" fillId="3" borderId="4" xfId="0" applyFont="1" applyFill="1" applyBorder="1" applyAlignment="1">
      <alignment wrapText="1"/>
    </xf>
    <xf numFmtId="0" fontId="8" fillId="0" borderId="4" xfId="0" applyFont="1" applyBorder="1" applyAlignment="1">
      <alignment horizontal="left" vertical="top"/>
    </xf>
    <xf numFmtId="164" fontId="8" fillId="0" borderId="0" xfId="0" applyNumberFormat="1" applyFont="1"/>
    <xf numFmtId="0" fontId="8" fillId="10" borderId="4" xfId="0" applyFont="1" applyFill="1" applyBorder="1" applyAlignment="1">
      <alignment wrapText="1"/>
    </xf>
    <xf numFmtId="0" fontId="8" fillId="0" borderId="3" xfId="0" applyFont="1" applyBorder="1" applyAlignment="1">
      <alignment horizontal="left" vertical="top"/>
    </xf>
    <xf numFmtId="164" fontId="8" fillId="0" borderId="7" xfId="0" applyNumberFormat="1" applyFont="1" applyBorder="1"/>
    <xf numFmtId="164" fontId="10" fillId="0" borderId="7" xfId="0" applyNumberFormat="1" applyFont="1" applyBorder="1"/>
    <xf numFmtId="0" fontId="8" fillId="0" borderId="11" xfId="0" applyFont="1" applyBorder="1"/>
    <xf numFmtId="165" fontId="8" fillId="4" borderId="0" xfId="0" applyNumberFormat="1" applyFont="1" applyFill="1"/>
    <xf numFmtId="165" fontId="10" fillId="4" borderId="0" xfId="0" applyNumberFormat="1" applyFont="1" applyFill="1"/>
    <xf numFmtId="165" fontId="8" fillId="0" borderId="0" xfId="0" applyNumberFormat="1" applyFont="1"/>
    <xf numFmtId="165" fontId="10" fillId="0" borderId="0" xfId="0" applyNumberFormat="1" applyFont="1"/>
    <xf numFmtId="165" fontId="8" fillId="4" borderId="7" xfId="0" applyNumberFormat="1" applyFont="1" applyFill="1" applyBorder="1"/>
    <xf numFmtId="165" fontId="10" fillId="4" borderId="7" xfId="0" applyNumberFormat="1" applyFont="1" applyFill="1" applyBorder="1"/>
    <xf numFmtId="164" fontId="10" fillId="4" borderId="1" xfId="0" applyNumberFormat="1" applyFont="1" applyFill="1" applyBorder="1"/>
    <xf numFmtId="164" fontId="10" fillId="0" borderId="1" xfId="0" applyNumberFormat="1" applyFont="1" applyBorder="1"/>
    <xf numFmtId="2" fontId="10" fillId="4" borderId="1" xfId="0" applyNumberFormat="1" applyFont="1" applyFill="1" applyBorder="1"/>
    <xf numFmtId="1" fontId="10" fillId="4" borderId="1" xfId="0" applyNumberFormat="1" applyFont="1" applyFill="1" applyBorder="1"/>
    <xf numFmtId="1" fontId="10" fillId="0" borderId="2" xfId="0" applyNumberFormat="1" applyFont="1" applyBorder="1"/>
    <xf numFmtId="0" fontId="8" fillId="0" borderId="4" xfId="0" applyFont="1" applyBorder="1"/>
    <xf numFmtId="0" fontId="8" fillId="3" borderId="4" xfId="0" applyFont="1" applyFill="1" applyBorder="1"/>
    <xf numFmtId="2" fontId="10" fillId="0" borderId="1" xfId="0" applyNumberFormat="1" applyFont="1" applyBorder="1" applyAlignment="1">
      <alignment horizontal="right"/>
    </xf>
    <xf numFmtId="0" fontId="8" fillId="4" borderId="3" xfId="0" applyFont="1" applyFill="1" applyBorder="1" applyAlignment="1">
      <alignment horizontal="left" vertical="top"/>
    </xf>
    <xf numFmtId="165" fontId="10" fillId="4" borderId="2" xfId="0" applyNumberFormat="1" applyFont="1" applyFill="1" applyBorder="1"/>
    <xf numFmtId="0" fontId="8" fillId="4" borderId="8" xfId="0" applyFont="1" applyFill="1" applyBorder="1" applyAlignment="1">
      <alignment horizontal="left" vertical="top"/>
    </xf>
    <xf numFmtId="10" fontId="8" fillId="4" borderId="6" xfId="0" applyNumberFormat="1" applyFont="1" applyFill="1" applyBorder="1"/>
    <xf numFmtId="10" fontId="8" fillId="0" borderId="1" xfId="0" applyNumberFormat="1" applyFont="1" applyBorder="1"/>
    <xf numFmtId="10" fontId="8" fillId="4" borderId="1" xfId="0" applyNumberFormat="1" applyFont="1" applyFill="1" applyBorder="1"/>
    <xf numFmtId="10" fontId="8" fillId="0" borderId="2" xfId="0" applyNumberFormat="1" applyFont="1" applyBorder="1"/>
    <xf numFmtId="0" fontId="8" fillId="0" borderId="3" xfId="0" applyFont="1" applyBorder="1" applyAlignment="1">
      <alignment horizontal="left" vertical="top" wrapText="1"/>
    </xf>
    <xf numFmtId="0" fontId="8" fillId="0" borderId="2" xfId="0" applyFont="1" applyBorder="1" applyAlignment="1">
      <alignment wrapText="1"/>
    </xf>
    <xf numFmtId="3" fontId="8" fillId="0" borderId="0" xfId="0" applyNumberFormat="1" applyFont="1"/>
    <xf numFmtId="0" fontId="9" fillId="2" borderId="5" xfId="0" applyFont="1" applyFill="1" applyBorder="1"/>
    <xf numFmtId="0" fontId="9" fillId="2" borderId="6" xfId="0" applyFont="1" applyFill="1" applyBorder="1"/>
    <xf numFmtId="3" fontId="10" fillId="3" borderId="10" xfId="0" applyNumberFormat="1" applyFont="1" applyFill="1" applyBorder="1"/>
    <xf numFmtId="3" fontId="10" fillId="3" borderId="5" xfId="0" applyNumberFormat="1" applyFont="1" applyFill="1" applyBorder="1"/>
    <xf numFmtId="3" fontId="8" fillId="3" borderId="5" xfId="0" applyNumberFormat="1" applyFont="1" applyFill="1" applyBorder="1"/>
    <xf numFmtId="3" fontId="8" fillId="3" borderId="6" xfId="0" applyNumberFormat="1" applyFont="1" applyFill="1" applyBorder="1"/>
    <xf numFmtId="10" fontId="8" fillId="0" borderId="0" xfId="0" applyNumberFormat="1" applyFont="1"/>
    <xf numFmtId="3" fontId="10" fillId="3" borderId="13" xfId="0" applyNumberFormat="1" applyFont="1" applyFill="1" applyBorder="1"/>
    <xf numFmtId="3" fontId="10" fillId="3" borderId="0" xfId="0" applyNumberFormat="1" applyFont="1" applyFill="1"/>
    <xf numFmtId="3" fontId="8" fillId="3" borderId="0" xfId="0" applyNumberFormat="1" applyFont="1" applyFill="1"/>
    <xf numFmtId="3" fontId="8" fillId="3" borderId="1" xfId="0" applyNumberFormat="1" applyFont="1" applyFill="1" applyBorder="1"/>
    <xf numFmtId="3" fontId="8" fillId="0" borderId="13" xfId="0" applyNumberFormat="1" applyFont="1" applyBorder="1"/>
    <xf numFmtId="3" fontId="8" fillId="0" borderId="1" xfId="0" applyNumberFormat="1" applyFont="1" applyBorder="1"/>
    <xf numFmtId="164" fontId="8" fillId="3" borderId="13" xfId="0" applyNumberFormat="1" applyFont="1" applyFill="1" applyBorder="1"/>
    <xf numFmtId="164" fontId="8" fillId="3" borderId="0" xfId="0" applyNumberFormat="1" applyFont="1" applyFill="1"/>
    <xf numFmtId="164" fontId="8" fillId="3" borderId="1" xfId="0" applyNumberFormat="1" applyFont="1" applyFill="1" applyBorder="1"/>
    <xf numFmtId="3" fontId="10" fillId="0" borderId="13" xfId="0" applyNumberFormat="1" applyFont="1" applyBorder="1"/>
    <xf numFmtId="3" fontId="10" fillId="0" borderId="0" xfId="0" applyNumberFormat="1" applyFont="1"/>
    <xf numFmtId="3" fontId="10" fillId="0" borderId="1" xfId="0" applyNumberFormat="1" applyFont="1" applyBorder="1"/>
    <xf numFmtId="3" fontId="8" fillId="3" borderId="13" xfId="0" applyNumberFormat="1" applyFont="1" applyFill="1" applyBorder="1"/>
    <xf numFmtId="164" fontId="10" fillId="0" borderId="13" xfId="0" applyNumberFormat="1" applyFont="1" applyBorder="1"/>
    <xf numFmtId="164" fontId="8" fillId="0" borderId="1" xfId="0" applyNumberFormat="1" applyFont="1" applyBorder="1"/>
    <xf numFmtId="0" fontId="10" fillId="3" borderId="0" xfId="0" applyFont="1" applyFill="1"/>
    <xf numFmtId="164" fontId="10" fillId="3" borderId="13" xfId="0" applyNumberFormat="1" applyFont="1" applyFill="1" applyBorder="1"/>
    <xf numFmtId="164" fontId="10" fillId="3" borderId="0" xfId="0" applyNumberFormat="1" applyFont="1" applyFill="1"/>
    <xf numFmtId="0" fontId="10" fillId="0" borderId="13" xfId="0" applyFont="1" applyBorder="1"/>
    <xf numFmtId="0" fontId="10" fillId="0" borderId="0" xfId="0" applyFont="1"/>
    <xf numFmtId="0" fontId="8" fillId="3" borderId="8" xfId="0" applyFont="1" applyFill="1" applyBorder="1"/>
    <xf numFmtId="164" fontId="8" fillId="0" borderId="2" xfId="0" applyNumberFormat="1" applyFont="1" applyBorder="1"/>
    <xf numFmtId="3" fontId="8" fillId="3" borderId="10" xfId="0" applyNumberFormat="1" applyFont="1" applyFill="1" applyBorder="1"/>
    <xf numFmtId="0" fontId="8" fillId="3" borderId="15" xfId="0" applyFont="1" applyFill="1" applyBorder="1"/>
    <xf numFmtId="3" fontId="8" fillId="3" borderId="15" xfId="0" applyNumberFormat="1" applyFont="1" applyFill="1" applyBorder="1"/>
    <xf numFmtId="3" fontId="8" fillId="3" borderId="11" xfId="0" applyNumberFormat="1" applyFont="1" applyFill="1" applyBorder="1"/>
    <xf numFmtId="3" fontId="8" fillId="3" borderId="12" xfId="0" applyNumberFormat="1" applyFont="1" applyFill="1" applyBorder="1"/>
    <xf numFmtId="0" fontId="8" fillId="3" borderId="0" xfId="0" applyFont="1" applyFill="1"/>
    <xf numFmtId="0" fontId="8" fillId="3" borderId="1" xfId="0" applyFont="1" applyFill="1" applyBorder="1"/>
    <xf numFmtId="3" fontId="8" fillId="0" borderId="10" xfId="0" applyNumberFormat="1" applyFont="1" applyBorder="1"/>
    <xf numFmtId="3" fontId="8" fillId="0" borderId="5" xfId="0" applyNumberFormat="1" applyFont="1" applyBorder="1"/>
    <xf numFmtId="3" fontId="8" fillId="0" borderId="6" xfId="0" applyNumberFormat="1" applyFont="1" applyBorder="1"/>
    <xf numFmtId="0" fontId="10" fillId="3" borderId="13" xfId="0" applyFont="1" applyFill="1" applyBorder="1"/>
    <xf numFmtId="0" fontId="8" fillId="0" borderId="1" xfId="0" applyFont="1" applyBorder="1"/>
    <xf numFmtId="0" fontId="8" fillId="0" borderId="14" xfId="0" applyFont="1" applyBorder="1"/>
    <xf numFmtId="3" fontId="8" fillId="0" borderId="15" xfId="0" applyNumberFormat="1" applyFont="1" applyBorder="1"/>
    <xf numFmtId="3" fontId="8" fillId="0" borderId="11" xfId="0" applyNumberFormat="1" applyFont="1" applyBorder="1"/>
    <xf numFmtId="3" fontId="8" fillId="0" borderId="12" xfId="0" applyNumberFormat="1" applyFont="1" applyBorder="1"/>
    <xf numFmtId="0" fontId="9" fillId="2" borderId="1" xfId="0" applyFont="1" applyFill="1" applyBorder="1"/>
    <xf numFmtId="0" fontId="9" fillId="2" borderId="0" xfId="0" applyFont="1" applyFill="1"/>
    <xf numFmtId="0" fontId="9" fillId="2" borderId="7" xfId="0" applyFont="1" applyFill="1" applyBorder="1"/>
    <xf numFmtId="0" fontId="8" fillId="3" borderId="16" xfId="0" applyFont="1" applyFill="1" applyBorder="1"/>
    <xf numFmtId="3" fontId="8" fillId="3" borderId="17" xfId="0" applyNumberFormat="1" applyFont="1" applyFill="1" applyBorder="1"/>
    <xf numFmtId="3" fontId="8" fillId="0" borderId="7" xfId="0" applyNumberFormat="1" applyFont="1" applyBorder="1"/>
    <xf numFmtId="0" fontId="9" fillId="2" borderId="2" xfId="0" applyFont="1" applyFill="1" applyBorder="1"/>
    <xf numFmtId="9" fontId="8" fillId="0" borderId="0" xfId="0" applyNumberFormat="1" applyFont="1"/>
    <xf numFmtId="164" fontId="8" fillId="3" borderId="10" xfId="0" applyNumberFormat="1" applyFont="1" applyFill="1" applyBorder="1"/>
    <xf numFmtId="164" fontId="8" fillId="3" borderId="5" xfId="0" applyNumberFormat="1" applyFont="1" applyFill="1" applyBorder="1"/>
    <xf numFmtId="164" fontId="8" fillId="3" borderId="6" xfId="0" applyNumberFormat="1" applyFont="1" applyFill="1" applyBorder="1"/>
    <xf numFmtId="166" fontId="8" fillId="0" borderId="13" xfId="0" applyNumberFormat="1" applyFont="1" applyBorder="1"/>
    <xf numFmtId="166" fontId="8" fillId="0" borderId="0" xfId="0" applyNumberFormat="1" applyFont="1"/>
    <xf numFmtId="166" fontId="8" fillId="0" borderId="1" xfId="0" applyNumberFormat="1" applyFont="1" applyBorder="1"/>
    <xf numFmtId="9" fontId="8" fillId="3" borderId="13" xfId="0" applyNumberFormat="1" applyFont="1" applyFill="1" applyBorder="1"/>
    <xf numFmtId="9" fontId="8" fillId="3" borderId="0" xfId="0" applyNumberFormat="1" applyFont="1" applyFill="1"/>
    <xf numFmtId="9" fontId="8" fillId="3" borderId="1" xfId="0" applyNumberFormat="1" applyFont="1" applyFill="1" applyBorder="1"/>
    <xf numFmtId="9" fontId="8" fillId="0" borderId="13" xfId="0" applyNumberFormat="1" applyFont="1" applyBorder="1"/>
    <xf numFmtId="9" fontId="8" fillId="0" borderId="1" xfId="0" applyNumberFormat="1" applyFont="1" applyBorder="1"/>
    <xf numFmtId="166" fontId="8" fillId="3" borderId="13" xfId="0" applyNumberFormat="1" applyFont="1" applyFill="1" applyBorder="1"/>
    <xf numFmtId="166" fontId="8" fillId="3" borderId="0" xfId="0" applyNumberFormat="1" applyFont="1" applyFill="1"/>
    <xf numFmtId="166" fontId="8" fillId="3" borderId="1" xfId="0" applyNumberFormat="1" applyFont="1" applyFill="1" applyBorder="1"/>
    <xf numFmtId="166" fontId="8" fillId="0" borderId="14" xfId="0" applyNumberFormat="1" applyFont="1" applyBorder="1"/>
    <xf numFmtId="166" fontId="8" fillId="0" borderId="7" xfId="0" applyNumberFormat="1" applyFont="1" applyBorder="1"/>
    <xf numFmtId="166" fontId="8" fillId="0" borderId="2" xfId="0" applyNumberFormat="1" applyFont="1" applyBorder="1"/>
    <xf numFmtId="3" fontId="8" fillId="3" borderId="16" xfId="0" applyNumberFormat="1" applyFont="1" applyFill="1" applyBorder="1"/>
    <xf numFmtId="0" fontId="8" fillId="6" borderId="13" xfId="0" applyFont="1" applyFill="1" applyBorder="1"/>
    <xf numFmtId="0" fontId="8" fillId="6" borderId="0" xfId="0" applyFont="1" applyFill="1"/>
    <xf numFmtId="0" fontId="8" fillId="6" borderId="1" xfId="0" applyFont="1" applyFill="1" applyBorder="1"/>
    <xf numFmtId="3" fontId="8" fillId="6" borderId="13" xfId="0" applyNumberFormat="1" applyFont="1" applyFill="1" applyBorder="1"/>
    <xf numFmtId="3" fontId="8" fillId="6" borderId="0" xfId="0" applyNumberFormat="1" applyFont="1" applyFill="1"/>
    <xf numFmtId="3" fontId="8" fillId="6" borderId="1" xfId="0" applyNumberFormat="1" applyFont="1" applyFill="1" applyBorder="1"/>
    <xf numFmtId="0" fontId="8" fillId="3" borderId="13" xfId="0" applyFont="1" applyFill="1" applyBorder="1" applyAlignment="1">
      <alignment horizontal="center"/>
    </xf>
    <xf numFmtId="0" fontId="8" fillId="3" borderId="0" xfId="0" applyFont="1" applyFill="1" applyAlignment="1">
      <alignment horizontal="center"/>
    </xf>
    <xf numFmtId="0" fontId="8" fillId="3" borderId="19" xfId="0" applyFont="1" applyFill="1" applyBorder="1"/>
    <xf numFmtId="0" fontId="8" fillId="3" borderId="18" xfId="0" applyFont="1" applyFill="1" applyBorder="1"/>
    <xf numFmtId="166" fontId="10" fillId="0" borderId="6" xfId="0" applyNumberFormat="1" applyFont="1" applyBorder="1"/>
    <xf numFmtId="0" fontId="8" fillId="4" borderId="9" xfId="0" applyFont="1" applyFill="1" applyBorder="1"/>
    <xf numFmtId="0" fontId="8" fillId="4" borderId="11" xfId="0" applyFont="1" applyFill="1" applyBorder="1"/>
    <xf numFmtId="0" fontId="8" fillId="4" borderId="12" xfId="0" applyFont="1" applyFill="1" applyBorder="1"/>
    <xf numFmtId="0" fontId="9" fillId="2" borderId="3" xfId="0" applyFont="1" applyFill="1" applyBorder="1"/>
    <xf numFmtId="0" fontId="8" fillId="4" borderId="4" xfId="0" applyFont="1" applyFill="1" applyBorder="1"/>
    <xf numFmtId="0" fontId="8" fillId="4" borderId="0" xfId="0" applyFont="1" applyFill="1"/>
    <xf numFmtId="0" fontId="8" fillId="4" borderId="1" xfId="0" applyFont="1" applyFill="1" applyBorder="1"/>
    <xf numFmtId="0" fontId="8" fillId="3" borderId="6" xfId="0" applyFont="1" applyFill="1" applyBorder="1"/>
    <xf numFmtId="0" fontId="10" fillId="3" borderId="14" xfId="0" applyFont="1" applyFill="1" applyBorder="1"/>
    <xf numFmtId="0" fontId="8" fillId="3" borderId="20" xfId="0" applyFont="1" applyFill="1" applyBorder="1"/>
    <xf numFmtId="0" fontId="8" fillId="4" borderId="13" xfId="0" applyFont="1" applyFill="1" applyBorder="1"/>
    <xf numFmtId="3" fontId="8" fillId="4" borderId="0" xfId="0" applyNumberFormat="1" applyFont="1" applyFill="1"/>
    <xf numFmtId="0" fontId="8" fillId="3" borderId="17" xfId="0" applyFont="1" applyFill="1" applyBorder="1"/>
    <xf numFmtId="0" fontId="8" fillId="3" borderId="5" xfId="0" applyFont="1" applyFill="1" applyBorder="1"/>
    <xf numFmtId="0" fontId="8" fillId="3" borderId="7" xfId="0" applyFont="1" applyFill="1" applyBorder="1"/>
    <xf numFmtId="0" fontId="8" fillId="3" borderId="2" xfId="0" applyFont="1" applyFill="1" applyBorder="1"/>
    <xf numFmtId="0" fontId="8" fillId="3" borderId="3" xfId="0" applyFont="1" applyFill="1" applyBorder="1"/>
    <xf numFmtId="0" fontId="8" fillId="0" borderId="8" xfId="0" applyFont="1" applyBorder="1"/>
    <xf numFmtId="0" fontId="8" fillId="0" borderId="0" xfId="0" applyFont="1" applyAlignment="1">
      <alignment horizontal="center"/>
    </xf>
    <xf numFmtId="0" fontId="12" fillId="0" borderId="0" xfId="0" applyFont="1" applyAlignment="1">
      <alignment vertical="top" wrapText="1"/>
    </xf>
    <xf numFmtId="0" fontId="12" fillId="0" borderId="5" xfId="0" applyFont="1" applyBorder="1" applyAlignment="1">
      <alignment vertical="top" wrapText="1"/>
    </xf>
    <xf numFmtId="0" fontId="6" fillId="3" borderId="9" xfId="1" applyFill="1" applyBorder="1" applyAlignment="1"/>
    <xf numFmtId="0" fontId="8" fillId="4" borderId="0" xfId="0" applyFont="1" applyFill="1" applyAlignment="1">
      <alignment wrapText="1"/>
    </xf>
    <xf numFmtId="0" fontId="8" fillId="0" borderId="12" xfId="1" applyFont="1" applyBorder="1" applyAlignment="1">
      <alignment wrapText="1"/>
    </xf>
    <xf numFmtId="0" fontId="8" fillId="3" borderId="12" xfId="1" applyFont="1" applyFill="1" applyBorder="1" applyAlignment="1">
      <alignment wrapText="1"/>
    </xf>
    <xf numFmtId="0" fontId="6" fillId="0" borderId="9" xfId="1" applyBorder="1" applyAlignment="1"/>
    <xf numFmtId="0" fontId="11" fillId="0" borderId="15" xfId="0" applyFont="1" applyBorder="1" applyAlignment="1">
      <alignment horizontal="center"/>
    </xf>
    <xf numFmtId="0" fontId="11" fillId="0" borderId="11" xfId="0" applyFont="1" applyBorder="1" applyAlignment="1">
      <alignment horizontal="center"/>
    </xf>
    <xf numFmtId="0" fontId="11" fillId="0" borderId="12" xfId="0" applyFont="1" applyBorder="1" applyAlignment="1">
      <alignment horizontal="center"/>
    </xf>
    <xf numFmtId="0" fontId="12" fillId="4" borderId="10"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12" fillId="4" borderId="13" xfId="0" applyFont="1" applyFill="1" applyBorder="1" applyAlignment="1">
      <alignment horizontal="left" vertical="top" wrapText="1"/>
    </xf>
    <xf numFmtId="0" fontId="12" fillId="4" borderId="0" xfId="0" applyFont="1" applyFill="1" applyAlignment="1">
      <alignment horizontal="left" vertical="top" wrapText="1"/>
    </xf>
    <xf numFmtId="0" fontId="12" fillId="4" borderId="1" xfId="0" applyFont="1" applyFill="1" applyBorder="1" applyAlignment="1">
      <alignment horizontal="left" vertical="top" wrapText="1"/>
    </xf>
    <xf numFmtId="0" fontId="12" fillId="4" borderId="14" xfId="0" applyFont="1" applyFill="1" applyBorder="1" applyAlignment="1">
      <alignment horizontal="left" vertical="top" wrapText="1"/>
    </xf>
    <xf numFmtId="0" fontId="12" fillId="4" borderId="7" xfId="0" applyFont="1" applyFill="1" applyBorder="1" applyAlignment="1">
      <alignment horizontal="left" vertical="top" wrapText="1"/>
    </xf>
    <xf numFmtId="0" fontId="12" fillId="4" borderId="2" xfId="0" applyFont="1" applyFill="1" applyBorder="1" applyAlignment="1">
      <alignment horizontal="left" vertical="top" wrapText="1"/>
    </xf>
    <xf numFmtId="0" fontId="9" fillId="8" borderId="7" xfId="0" applyFont="1" applyFill="1" applyBorder="1" applyAlignment="1">
      <alignment horizontal="left"/>
    </xf>
    <xf numFmtId="0" fontId="12" fillId="0" borderId="15" xfId="0" applyFont="1" applyBorder="1" applyAlignment="1">
      <alignment horizontal="left" wrapText="1"/>
    </xf>
    <xf numFmtId="0" fontId="12" fillId="0" borderId="12" xfId="0" applyFont="1" applyBorder="1" applyAlignment="1">
      <alignment horizontal="left" wrapText="1"/>
    </xf>
    <xf numFmtId="0" fontId="1" fillId="2"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7" fillId="8" borderId="0" xfId="0" applyFont="1" applyFill="1" applyAlignment="1">
      <alignment horizontal="center"/>
    </xf>
    <xf numFmtId="0" fontId="9" fillId="9" borderId="15" xfId="0" applyFont="1" applyFill="1" applyBorder="1" applyAlignment="1">
      <alignment horizontal="left"/>
    </xf>
    <xf numFmtId="0" fontId="9" fillId="9" borderId="12" xfId="0" applyFont="1" applyFill="1" applyBorder="1" applyAlignment="1">
      <alignment horizontal="left"/>
    </xf>
    <xf numFmtId="0" fontId="8" fillId="3" borderId="4" xfId="0" applyFont="1" applyFill="1" applyBorder="1" applyAlignment="1">
      <alignment horizontal="left" vertical="top" wrapText="1"/>
    </xf>
    <xf numFmtId="0" fontId="9" fillId="2" borderId="15" xfId="0" applyFont="1" applyFill="1" applyBorder="1" applyAlignment="1">
      <alignment horizontal="center" wrapText="1"/>
    </xf>
    <xf numFmtId="0" fontId="9" fillId="2" borderId="12" xfId="0" applyFont="1" applyFill="1" applyBorder="1" applyAlignment="1">
      <alignment horizontal="center" wrapText="1"/>
    </xf>
    <xf numFmtId="0" fontId="9" fillId="2" borderId="15" xfId="0" applyFont="1" applyFill="1" applyBorder="1" applyAlignment="1">
      <alignment horizontal="center"/>
    </xf>
    <xf numFmtId="0" fontId="9" fillId="2" borderId="12" xfId="0" applyFont="1" applyFill="1" applyBorder="1" applyAlignment="1">
      <alignment horizontal="center"/>
    </xf>
    <xf numFmtId="0" fontId="9" fillId="2" borderId="14" xfId="0" applyFont="1" applyFill="1" applyBorder="1" applyAlignment="1">
      <alignment horizontal="center"/>
    </xf>
    <xf numFmtId="0" fontId="9" fillId="2" borderId="7" xfId="0" applyFont="1" applyFill="1" applyBorder="1" applyAlignment="1">
      <alignment horizontal="center"/>
    </xf>
    <xf numFmtId="0" fontId="9" fillId="2" borderId="11" xfId="0" applyFont="1" applyFill="1" applyBorder="1" applyAlignment="1">
      <alignment horizontal="center"/>
    </xf>
    <xf numFmtId="0" fontId="9" fillId="2" borderId="15"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8" fillId="0" borderId="15"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9" fillId="5" borderId="13" xfId="0" applyFont="1" applyFill="1" applyBorder="1" applyAlignment="1">
      <alignment horizontal="center"/>
    </xf>
    <xf numFmtId="0" fontId="9" fillId="5" borderId="0" xfId="0" applyFont="1" applyFill="1" applyAlignment="1">
      <alignment horizontal="center"/>
    </xf>
    <xf numFmtId="0" fontId="9" fillId="5" borderId="1" xfId="0" applyFont="1" applyFill="1" applyBorder="1" applyAlignment="1">
      <alignment horizontal="center"/>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6" xfId="0" applyFont="1" applyBorder="1" applyAlignment="1">
      <alignment horizontal="center" wrapText="1"/>
    </xf>
    <xf numFmtId="0" fontId="11" fillId="0" borderId="1" xfId="0" applyFont="1" applyBorder="1" applyAlignment="1">
      <alignment horizontal="center" wrapText="1"/>
    </xf>
    <xf numFmtId="0" fontId="11" fillId="0" borderId="2" xfId="0" applyFont="1" applyBorder="1" applyAlignment="1">
      <alignment horizontal="center" wrapText="1"/>
    </xf>
    <xf numFmtId="0" fontId="12" fillId="0" borderId="0" xfId="0" applyFont="1" applyAlignment="1">
      <alignment horizontal="left" vertical="top" wrapText="1"/>
    </xf>
    <xf numFmtId="0" fontId="8" fillId="0" borderId="0" xfId="0" applyFont="1" applyBorder="1"/>
    <xf numFmtId="3" fontId="8" fillId="0" borderId="0" xfId="0" applyNumberFormat="1" applyFont="1" applyBorder="1"/>
    <xf numFmtId="0" fontId="8" fillId="4" borderId="3" xfId="0" applyFont="1" applyFill="1" applyBorder="1"/>
    <xf numFmtId="0" fontId="14" fillId="0" borderId="0" xfId="0" applyFont="1"/>
    <xf numFmtId="167" fontId="8" fillId="4" borderId="7" xfId="0" applyNumberFormat="1" applyFont="1" applyFill="1" applyBorder="1"/>
    <xf numFmtId="167" fontId="8" fillId="4" borderId="2" xfId="0" applyNumberFormat="1" applyFont="1" applyFill="1" applyBorder="1"/>
    <xf numFmtId="0" fontId="10" fillId="3" borderId="7" xfId="0" applyFont="1" applyFill="1" applyBorder="1"/>
    <xf numFmtId="0" fontId="8" fillId="3" borderId="0" xfId="0" applyFont="1" applyFill="1" applyBorder="1"/>
    <xf numFmtId="0" fontId="9" fillId="2" borderId="15" xfId="0" applyFont="1" applyFill="1" applyBorder="1"/>
    <xf numFmtId="0" fontId="9" fillId="2" borderId="11" xfId="0" applyFont="1" applyFill="1" applyBorder="1"/>
    <xf numFmtId="0" fontId="9" fillId="2" borderId="12" xfId="0" applyFont="1" applyFill="1" applyBorder="1"/>
    <xf numFmtId="0" fontId="8" fillId="10" borderId="1" xfId="0" applyFont="1" applyFill="1" applyBorder="1"/>
  </cellXfs>
  <cellStyles count="2">
    <cellStyle name="Hyperlink" xfId="1" builtinId="8"/>
    <cellStyle name="Normal" xfId="0" builtinId="0"/>
  </cellStyles>
  <dxfs count="3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none"/>
      </font>
    </dxf>
    <dxf>
      <font>
        <strike val="0"/>
        <outline val="0"/>
        <shadow val="0"/>
        <u val="none"/>
        <vertAlign val="baseline"/>
        <sz val="11"/>
        <name val="Calibri"/>
        <family val="2"/>
        <scheme val="none"/>
      </font>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dxf>
    <dxf>
      <border outline="0">
        <bottom style="thin">
          <color indexed="64"/>
        </bottom>
      </border>
    </dxf>
    <dxf>
      <font>
        <b/>
        <strike val="0"/>
        <outline val="0"/>
        <shadow val="0"/>
        <u val="none"/>
        <vertAlign val="baseline"/>
        <sz val="11"/>
        <color theme="0"/>
        <name val="Calibri"/>
        <family val="2"/>
        <scheme val="none"/>
      </font>
      <fill>
        <patternFill patternType="solid">
          <fgColor indexed="64"/>
          <bgColor theme="3"/>
        </patternFill>
      </fill>
    </dxf>
    <dxf>
      <font>
        <strike val="0"/>
        <outline val="0"/>
        <shadow val="0"/>
        <u val="none"/>
        <vertAlign val="baseline"/>
        <sz val="11"/>
        <name val="Calibri"/>
        <family val="2"/>
        <scheme val="none"/>
      </font>
      <numFmt numFmtId="3" formatCode="#,##0"/>
    </dxf>
    <dxf>
      <font>
        <strike val="0"/>
        <outline val="0"/>
        <shadow val="0"/>
        <u val="none"/>
        <vertAlign val="baseline"/>
        <sz val="11"/>
        <name val="Calibri"/>
        <family val="2"/>
        <scheme val="none"/>
      </font>
      <numFmt numFmtId="3" formatCode="#,##0"/>
    </dxf>
    <dxf>
      <font>
        <strike val="0"/>
        <outline val="0"/>
        <shadow val="0"/>
        <u val="none"/>
        <vertAlign val="baseline"/>
        <sz val="11"/>
        <name val="Calibri"/>
        <family val="2"/>
        <scheme val="none"/>
      </font>
      <numFmt numFmtId="3" formatCode="#,##0"/>
    </dxf>
    <dxf>
      <font>
        <strike val="0"/>
        <outline val="0"/>
        <shadow val="0"/>
        <u val="none"/>
        <vertAlign val="baseline"/>
        <sz val="11"/>
        <name val="Calibri"/>
        <family val="2"/>
        <scheme val="none"/>
      </font>
      <numFmt numFmtId="3" formatCode="#,##0"/>
    </dxf>
    <dxf>
      <font>
        <strike val="0"/>
        <outline val="0"/>
        <shadow val="0"/>
        <u val="none"/>
        <vertAlign val="baseline"/>
        <sz val="11"/>
        <name val="Calibri"/>
        <family val="2"/>
        <scheme val="none"/>
      </font>
      <numFmt numFmtId="3" formatCode="#,##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dxf>
    <dxf>
      <font>
        <b/>
        <i val="0"/>
        <strike val="0"/>
        <condense val="0"/>
        <extend val="0"/>
        <outline val="0"/>
        <shadow val="0"/>
        <u val="none"/>
        <vertAlign val="baseline"/>
        <sz val="11"/>
        <color theme="0"/>
        <name val="Calibri"/>
        <family val="2"/>
        <scheme val="none"/>
      </font>
      <fill>
        <patternFill patternType="solid">
          <fgColor indexed="64"/>
          <bgColor theme="3"/>
        </patternFill>
      </fil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0"/>
        <name val="Calibri"/>
        <family val="2"/>
        <scheme val="none"/>
      </font>
      <fill>
        <patternFill patternType="solid">
          <fgColor indexed="64"/>
          <bgColor them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NVIDIA Revenue</a:t>
            </a:r>
            <a:r>
              <a:rPr lang="en-GB" baseline="0"/>
              <a:t> and Margin Trends: FY2022A-FY2031E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Statement'!$B$5</c:f>
              <c:strCache>
                <c:ptCount val="1"/>
                <c:pt idx="0">
                  <c:v>Revenue</c:v>
                </c:pt>
              </c:strCache>
            </c:strRef>
          </c:tx>
          <c:spPr>
            <a:solidFill>
              <a:schemeClr val="accent1"/>
            </a:solidFill>
            <a:ln>
              <a:noFill/>
            </a:ln>
            <a:effectLst/>
          </c:spPr>
          <c:invertIfNegative val="0"/>
          <c:cat>
            <c:strRef>
              <c:f>'Income Statement'!$C$4:$L$4</c:f>
              <c:strCache>
                <c:ptCount val="10"/>
                <c:pt idx="0">
                  <c:v>FY2022A</c:v>
                </c:pt>
                <c:pt idx="1">
                  <c:v>FY2023A</c:v>
                </c:pt>
                <c:pt idx="2">
                  <c:v>FY2024A</c:v>
                </c:pt>
                <c:pt idx="3">
                  <c:v>FY2025A</c:v>
                </c:pt>
                <c:pt idx="4">
                  <c:v>FY2026A</c:v>
                </c:pt>
                <c:pt idx="5">
                  <c:v>FY2027E</c:v>
                </c:pt>
                <c:pt idx="6">
                  <c:v>FY2028E</c:v>
                </c:pt>
                <c:pt idx="7">
                  <c:v>FY2029E</c:v>
                </c:pt>
                <c:pt idx="8">
                  <c:v>FY2030E</c:v>
                </c:pt>
                <c:pt idx="9">
                  <c:v>FY2031E</c:v>
                </c:pt>
              </c:strCache>
            </c:strRef>
          </c:cat>
          <c:val>
            <c:numRef>
              <c:f>'Income Statement'!$C$5:$L$5</c:f>
              <c:numCache>
                <c:formatCode>#,##0</c:formatCode>
                <c:ptCount val="10"/>
                <c:pt idx="0">
                  <c:v>26914</c:v>
                </c:pt>
                <c:pt idx="1">
                  <c:v>26974</c:v>
                </c:pt>
                <c:pt idx="2">
                  <c:v>60922</c:v>
                </c:pt>
                <c:pt idx="3">
                  <c:v>130497</c:v>
                </c:pt>
                <c:pt idx="4">
                  <c:v>215938</c:v>
                </c:pt>
                <c:pt idx="5">
                  <c:v>237531.80000000002</c:v>
                </c:pt>
                <c:pt idx="6">
                  <c:v>258909.66200000004</c:v>
                </c:pt>
                <c:pt idx="7">
                  <c:v>279622.43496000004</c:v>
                </c:pt>
                <c:pt idx="8">
                  <c:v>297797.89323240001</c:v>
                </c:pt>
                <c:pt idx="9">
                  <c:v>312687.78789402003</c:v>
                </c:pt>
              </c:numCache>
            </c:numRef>
          </c:val>
          <c:extLst>
            <c:ext xmlns:c16="http://schemas.microsoft.com/office/drawing/2014/chart" uri="{C3380CC4-5D6E-409C-BE32-E72D297353CC}">
              <c16:uniqueId val="{00000000-EE7A-4227-BCA4-1DCEB8B0A43F}"/>
            </c:ext>
          </c:extLst>
        </c:ser>
        <c:dLbls>
          <c:showLegendKey val="0"/>
          <c:showVal val="0"/>
          <c:showCatName val="0"/>
          <c:showSerName val="0"/>
          <c:showPercent val="0"/>
          <c:showBubbleSize val="0"/>
        </c:dLbls>
        <c:gapWidth val="219"/>
        <c:overlap val="-27"/>
        <c:axId val="740249903"/>
        <c:axId val="740251343"/>
      </c:barChart>
      <c:lineChart>
        <c:grouping val="standard"/>
        <c:varyColors val="0"/>
        <c:ser>
          <c:idx val="1"/>
          <c:order val="1"/>
          <c:tx>
            <c:strRef>
              <c:f>'Income Statement'!$B$9</c:f>
              <c:strCache>
                <c:ptCount val="1"/>
                <c:pt idx="0">
                  <c:v>Gross Margin</c:v>
                </c:pt>
              </c:strCache>
            </c:strRef>
          </c:tx>
          <c:spPr>
            <a:ln w="28575" cap="rnd">
              <a:solidFill>
                <a:schemeClr val="accent2"/>
              </a:solidFill>
              <a:round/>
            </a:ln>
            <a:effectLst/>
          </c:spPr>
          <c:marker>
            <c:symbol val="none"/>
          </c:marker>
          <c:val>
            <c:numRef>
              <c:f>'Income Statement'!$C$9:$L$9</c:f>
              <c:numCache>
                <c:formatCode>0.0%</c:formatCode>
                <c:ptCount val="10"/>
                <c:pt idx="0">
                  <c:v>0.64929033216913135</c:v>
                </c:pt>
                <c:pt idx="1">
                  <c:v>0.56928894490991322</c:v>
                </c:pt>
                <c:pt idx="2">
                  <c:v>0.72717573290436954</c:v>
                </c:pt>
                <c:pt idx="3">
                  <c:v>0.74988697058169917</c:v>
                </c:pt>
                <c:pt idx="4">
                  <c:v>0.71068084357547079</c:v>
                </c:pt>
                <c:pt idx="5">
                  <c:v>0.75</c:v>
                </c:pt>
                <c:pt idx="6">
                  <c:v>0.75</c:v>
                </c:pt>
                <c:pt idx="7">
                  <c:v>0.75</c:v>
                </c:pt>
                <c:pt idx="8">
                  <c:v>0.75</c:v>
                </c:pt>
                <c:pt idx="9">
                  <c:v>0.75</c:v>
                </c:pt>
              </c:numCache>
            </c:numRef>
          </c:val>
          <c:smooth val="0"/>
          <c:extLst>
            <c:ext xmlns:c16="http://schemas.microsoft.com/office/drawing/2014/chart" uri="{C3380CC4-5D6E-409C-BE32-E72D297353CC}">
              <c16:uniqueId val="{00000001-EE7A-4227-BCA4-1DCEB8B0A43F}"/>
            </c:ext>
          </c:extLst>
        </c:ser>
        <c:ser>
          <c:idx val="2"/>
          <c:order val="2"/>
          <c:tx>
            <c:strRef>
              <c:f>'Income Statement'!$B$14</c:f>
              <c:strCache>
                <c:ptCount val="1"/>
                <c:pt idx="0">
                  <c:v>EBITDA Margin</c:v>
                </c:pt>
              </c:strCache>
            </c:strRef>
          </c:tx>
          <c:spPr>
            <a:ln w="28575" cap="rnd">
              <a:solidFill>
                <a:schemeClr val="accent3"/>
              </a:solidFill>
              <a:round/>
            </a:ln>
            <a:effectLst/>
          </c:spPr>
          <c:marker>
            <c:symbol val="none"/>
          </c:marker>
          <c:val>
            <c:numRef>
              <c:f>'Income Statement'!$C$14:$L$14</c:f>
              <c:numCache>
                <c:formatCode>0.0%</c:formatCode>
                <c:ptCount val="10"/>
                <c:pt idx="0">
                  <c:v>0.37307720888756779</c:v>
                </c:pt>
                <c:pt idx="1">
                  <c:v>0.1565952398606065</c:v>
                </c:pt>
                <c:pt idx="2">
                  <c:v>0.54121663766783756</c:v>
                </c:pt>
                <c:pt idx="3">
                  <c:v>0.62417526839697468</c:v>
                </c:pt>
                <c:pt idx="4">
                  <c:v>0.60381683631412719</c:v>
                </c:pt>
                <c:pt idx="5">
                  <c:v>0.63</c:v>
                </c:pt>
                <c:pt idx="6">
                  <c:v>0.63000000000000012</c:v>
                </c:pt>
                <c:pt idx="7">
                  <c:v>0.63</c:v>
                </c:pt>
                <c:pt idx="8">
                  <c:v>0.62999999999999989</c:v>
                </c:pt>
                <c:pt idx="9">
                  <c:v>0.63</c:v>
                </c:pt>
              </c:numCache>
            </c:numRef>
          </c:val>
          <c:smooth val="0"/>
          <c:extLst>
            <c:ext xmlns:c16="http://schemas.microsoft.com/office/drawing/2014/chart" uri="{C3380CC4-5D6E-409C-BE32-E72D297353CC}">
              <c16:uniqueId val="{00000002-EE7A-4227-BCA4-1DCEB8B0A43F}"/>
            </c:ext>
          </c:extLst>
        </c:ser>
        <c:ser>
          <c:idx val="3"/>
          <c:order val="3"/>
          <c:tx>
            <c:strRef>
              <c:f>'Income Statement'!$B$17</c:f>
              <c:strCache>
                <c:ptCount val="1"/>
                <c:pt idx="0">
                  <c:v>EBIT Margin</c:v>
                </c:pt>
              </c:strCache>
            </c:strRef>
          </c:tx>
          <c:spPr>
            <a:ln w="28575" cap="rnd">
              <a:solidFill>
                <a:schemeClr val="accent4"/>
              </a:solidFill>
              <a:round/>
            </a:ln>
            <a:effectLst/>
          </c:spPr>
          <c:marker>
            <c:symbol val="none"/>
          </c:marker>
          <c:val>
            <c:numRef>
              <c:f>'Income Statement'!$C$17:$L$17</c:f>
              <c:numCache>
                <c:formatCode>0.0%</c:formatCode>
                <c:ptCount val="10"/>
                <c:pt idx="0">
                  <c:v>0.32945678828862301</c:v>
                </c:pt>
                <c:pt idx="1">
                  <c:v>9.8984207014161787E-2</c:v>
                </c:pt>
                <c:pt idx="2">
                  <c:v>0.51646367486293954</c:v>
                </c:pt>
                <c:pt idx="3">
                  <c:v>0.60989141512831713</c:v>
                </c:pt>
                <c:pt idx="4">
                  <c:v>0.59065102020024263</c:v>
                </c:pt>
                <c:pt idx="5">
                  <c:v>0.61819774868038724</c:v>
                </c:pt>
                <c:pt idx="6">
                  <c:v>0.60599482251071812</c:v>
                </c:pt>
                <c:pt idx="7">
                  <c:v>0.59752427817854092</c:v>
                </c:pt>
                <c:pt idx="8">
                  <c:v>0.5912607728359951</c:v>
                </c:pt>
                <c:pt idx="9">
                  <c:v>0.58635272778121572</c:v>
                </c:pt>
              </c:numCache>
            </c:numRef>
          </c:val>
          <c:smooth val="0"/>
          <c:extLst>
            <c:ext xmlns:c16="http://schemas.microsoft.com/office/drawing/2014/chart" uri="{C3380CC4-5D6E-409C-BE32-E72D297353CC}">
              <c16:uniqueId val="{00000003-EE7A-4227-BCA4-1DCEB8B0A43F}"/>
            </c:ext>
          </c:extLst>
        </c:ser>
        <c:ser>
          <c:idx val="4"/>
          <c:order val="4"/>
          <c:tx>
            <c:v>Projected Data</c:v>
          </c:tx>
          <c:spPr>
            <a:ln w="28575" cap="rnd">
              <a:solidFill>
                <a:schemeClr val="accent5"/>
              </a:solidFill>
              <a:round/>
            </a:ln>
            <a:effectLst/>
          </c:spPr>
          <c:marker>
            <c:symbol val="none"/>
          </c:marker>
          <c:val>
            <c:numLit>
              <c:formatCode>General</c:formatCode>
              <c:ptCount val="1"/>
              <c:pt idx="0">
                <c:v>0</c:v>
              </c:pt>
            </c:numLit>
          </c:val>
          <c:smooth val="0"/>
          <c:extLst>
            <c:ext xmlns:c16="http://schemas.microsoft.com/office/drawing/2014/chart" uri="{C3380CC4-5D6E-409C-BE32-E72D297353CC}">
              <c16:uniqueId val="{00000005-EE7A-4227-BCA4-1DCEB8B0A43F}"/>
            </c:ext>
          </c:extLst>
        </c:ser>
        <c:dLbls>
          <c:showLegendKey val="0"/>
          <c:showVal val="0"/>
          <c:showCatName val="0"/>
          <c:showSerName val="0"/>
          <c:showPercent val="0"/>
          <c:showBubbleSize val="0"/>
        </c:dLbls>
        <c:marker val="1"/>
        <c:smooth val="0"/>
        <c:axId val="721570191"/>
        <c:axId val="721569711"/>
      </c:lineChart>
      <c:catAx>
        <c:axId val="74024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51343"/>
        <c:crosses val="autoZero"/>
        <c:auto val="1"/>
        <c:lblAlgn val="ctr"/>
        <c:lblOffset val="100"/>
        <c:noMultiLvlLbl val="0"/>
      </c:catAx>
      <c:valAx>
        <c:axId val="74025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in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49903"/>
        <c:crosses val="autoZero"/>
        <c:crossBetween val="between"/>
      </c:valAx>
      <c:valAx>
        <c:axId val="7215697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r>
                  <a:rPr lang="en-GB" baseline="0"/>
                  <a:t> in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570191"/>
        <c:crosses val="max"/>
        <c:crossBetween val="between"/>
      </c:valAx>
      <c:catAx>
        <c:axId val="721570191"/>
        <c:scaling>
          <c:orientation val="minMax"/>
        </c:scaling>
        <c:delete val="1"/>
        <c:axPos val="b"/>
        <c:majorTickMark val="out"/>
        <c:minorTickMark val="none"/>
        <c:tickLblPos val="nextTo"/>
        <c:crossAx val="7215697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NVIDIA</a:t>
            </a:r>
            <a:r>
              <a:rPr lang="en-GB" baseline="0"/>
              <a:t> Working Capital Days: FY2022A-FY2031E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'Working Capital Schedule'!$B$15</c:f>
              <c:strCache>
                <c:ptCount val="1"/>
                <c:pt idx="0">
                  <c:v>DSO (days)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 Capital Schedule'!$C$14:$L$14</c:f>
              <c:strCache>
                <c:ptCount val="10"/>
                <c:pt idx="0">
                  <c:v>FY2022A</c:v>
                </c:pt>
                <c:pt idx="1">
                  <c:v>FY2023A</c:v>
                </c:pt>
                <c:pt idx="2">
                  <c:v>FY2024A</c:v>
                </c:pt>
                <c:pt idx="3">
                  <c:v>FY2025A</c:v>
                </c:pt>
                <c:pt idx="4">
                  <c:v>FY2026A</c:v>
                </c:pt>
                <c:pt idx="5">
                  <c:v>FY2027E</c:v>
                </c:pt>
                <c:pt idx="6">
                  <c:v>FY2028E</c:v>
                </c:pt>
                <c:pt idx="7">
                  <c:v>FY2029E</c:v>
                </c:pt>
                <c:pt idx="8">
                  <c:v>FY2030E</c:v>
                </c:pt>
                <c:pt idx="9">
                  <c:v>FY2031E</c:v>
                </c:pt>
              </c:strCache>
            </c:strRef>
          </c:cat>
          <c:val>
            <c:numRef>
              <c:f>'Working Capital Schedule'!$C$15:$L$15</c:f>
              <c:numCache>
                <c:formatCode>General</c:formatCode>
                <c:ptCount val="10"/>
                <c:pt idx="0">
                  <c:v>63.061975180203611</c:v>
                </c:pt>
                <c:pt idx="1">
                  <c:v>51.785237636242307</c:v>
                </c:pt>
                <c:pt idx="2">
                  <c:v>59.906683956534586</c:v>
                </c:pt>
                <c:pt idx="3">
                  <c:v>64.512785734537957</c:v>
                </c:pt>
                <c:pt idx="4">
                  <c:v>65.01907955061175</c:v>
                </c:pt>
                <c:pt idx="5">
                  <c:v>65</c:v>
                </c:pt>
                <c:pt idx="6">
                  <c:v>65</c:v>
                </c:pt>
                <c:pt idx="7">
                  <c:v>65</c:v>
                </c:pt>
                <c:pt idx="8">
                  <c:v>65</c:v>
                </c:pt>
                <c:pt idx="9">
                  <c:v>65</c:v>
                </c:pt>
              </c:numCache>
            </c:numRef>
          </c:val>
          <c:smooth val="0"/>
          <c:extLst>
            <c:ext xmlns:c16="http://schemas.microsoft.com/office/drawing/2014/chart" uri="{C3380CC4-5D6E-409C-BE32-E72D297353CC}">
              <c16:uniqueId val="{00000000-4C19-4247-AB99-BF34F641D2B9}"/>
            </c:ext>
          </c:extLst>
        </c:ser>
        <c:ser>
          <c:idx val="1"/>
          <c:order val="1"/>
          <c:tx>
            <c:strRef>
              <c:f>'Working Capital Schedule'!$B$16</c:f>
              <c:strCache>
                <c:ptCount val="1"/>
                <c:pt idx="0">
                  <c:v>DIO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'Working Capital Schedule'!$C$14:$L$14</c:f>
              <c:strCache>
                <c:ptCount val="10"/>
                <c:pt idx="0">
                  <c:v>FY2022A</c:v>
                </c:pt>
                <c:pt idx="1">
                  <c:v>FY2023A</c:v>
                </c:pt>
                <c:pt idx="2">
                  <c:v>FY2024A</c:v>
                </c:pt>
                <c:pt idx="3">
                  <c:v>FY2025A</c:v>
                </c:pt>
                <c:pt idx="4">
                  <c:v>FY2026A</c:v>
                </c:pt>
                <c:pt idx="5">
                  <c:v>FY2027E</c:v>
                </c:pt>
                <c:pt idx="6">
                  <c:v>FY2028E</c:v>
                </c:pt>
                <c:pt idx="7">
                  <c:v>FY2029E</c:v>
                </c:pt>
                <c:pt idx="8">
                  <c:v>FY2030E</c:v>
                </c:pt>
                <c:pt idx="9">
                  <c:v>FY2031E</c:v>
                </c:pt>
              </c:strCache>
            </c:strRef>
          </c:cat>
          <c:val>
            <c:numRef>
              <c:f>'Working Capital Schedule'!$C$16:$L$16</c:f>
              <c:numCache>
                <c:formatCode>General</c:formatCode>
                <c:ptCount val="10"/>
                <c:pt idx="0">
                  <c:v>100.73365822650703</c:v>
                </c:pt>
                <c:pt idx="1">
                  <c:v>162.079101394388</c:v>
                </c:pt>
                <c:pt idx="2">
                  <c:v>115.99362252572048</c:v>
                </c:pt>
                <c:pt idx="3">
                  <c:v>112.72404179049603</c:v>
                </c:pt>
                <c:pt idx="4">
                  <c:v>125.043537414966</c:v>
                </c:pt>
                <c:pt idx="5">
                  <c:v>125</c:v>
                </c:pt>
                <c:pt idx="6">
                  <c:v>125</c:v>
                </c:pt>
                <c:pt idx="7">
                  <c:v>125</c:v>
                </c:pt>
                <c:pt idx="8">
                  <c:v>125</c:v>
                </c:pt>
                <c:pt idx="9">
                  <c:v>125</c:v>
                </c:pt>
              </c:numCache>
            </c:numRef>
          </c:val>
          <c:smooth val="0"/>
          <c:extLst>
            <c:ext xmlns:c16="http://schemas.microsoft.com/office/drawing/2014/chart" uri="{C3380CC4-5D6E-409C-BE32-E72D297353CC}">
              <c16:uniqueId val="{00000001-4C19-4247-AB99-BF34F641D2B9}"/>
            </c:ext>
          </c:extLst>
        </c:ser>
        <c:ser>
          <c:idx val="2"/>
          <c:order val="2"/>
          <c:tx>
            <c:strRef>
              <c:f>'Working Capital Schedule'!$B$17</c:f>
              <c:strCache>
                <c:ptCount val="1"/>
                <c:pt idx="0">
                  <c:v>DPO (days)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'Working Capital Schedule'!$C$14:$L$14</c:f>
              <c:strCache>
                <c:ptCount val="10"/>
                <c:pt idx="0">
                  <c:v>FY2022A</c:v>
                </c:pt>
                <c:pt idx="1">
                  <c:v>FY2023A</c:v>
                </c:pt>
                <c:pt idx="2">
                  <c:v>FY2024A</c:v>
                </c:pt>
                <c:pt idx="3">
                  <c:v>FY2025A</c:v>
                </c:pt>
                <c:pt idx="4">
                  <c:v>FY2026A</c:v>
                </c:pt>
                <c:pt idx="5">
                  <c:v>FY2027E</c:v>
                </c:pt>
                <c:pt idx="6">
                  <c:v>FY2028E</c:v>
                </c:pt>
                <c:pt idx="7">
                  <c:v>FY2029E</c:v>
                </c:pt>
                <c:pt idx="8">
                  <c:v>FY2030E</c:v>
                </c:pt>
                <c:pt idx="9">
                  <c:v>FY2031E</c:v>
                </c:pt>
              </c:strCache>
            </c:strRef>
          </c:cat>
          <c:val>
            <c:numRef>
              <c:f>'Working Capital Schedule'!$C$17:$L$17</c:f>
              <c:numCache>
                <c:formatCode>General</c:formatCode>
                <c:ptCount val="10"/>
                <c:pt idx="0">
                  <c:v>68.947452060599645</c:v>
                </c:pt>
                <c:pt idx="1">
                  <c:v>37.480203133069374</c:v>
                </c:pt>
                <c:pt idx="2">
                  <c:v>59.270501173214605</c:v>
                </c:pt>
                <c:pt idx="3">
                  <c:v>70.564355525598216</c:v>
                </c:pt>
                <c:pt idx="4">
                  <c:v>57.325010004001605</c:v>
                </c:pt>
                <c:pt idx="5">
                  <c:v>57</c:v>
                </c:pt>
                <c:pt idx="6">
                  <c:v>57</c:v>
                </c:pt>
                <c:pt idx="7">
                  <c:v>57</c:v>
                </c:pt>
                <c:pt idx="8">
                  <c:v>57</c:v>
                </c:pt>
                <c:pt idx="9">
                  <c:v>57</c:v>
                </c:pt>
              </c:numCache>
            </c:numRef>
          </c:val>
          <c:smooth val="0"/>
          <c:extLst>
            <c:ext xmlns:c16="http://schemas.microsoft.com/office/drawing/2014/chart" uri="{C3380CC4-5D6E-409C-BE32-E72D297353CC}">
              <c16:uniqueId val="{00000002-4C19-4247-AB99-BF34F641D2B9}"/>
            </c:ext>
          </c:extLst>
        </c:ser>
        <c:ser>
          <c:idx val="3"/>
          <c:order val="3"/>
          <c:tx>
            <c:v>Projected Data</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Lit>
              <c:formatCode>General</c:formatCode>
              <c:ptCount val="1"/>
              <c:pt idx="0">
                <c:v>0</c:v>
              </c:pt>
            </c:numLit>
          </c:val>
          <c:smooth val="0"/>
          <c:extLst>
            <c:ext xmlns:c16="http://schemas.microsoft.com/office/drawing/2014/chart" uri="{C3380CC4-5D6E-409C-BE32-E72D297353CC}">
              <c16:uniqueId val="{00000004-4C19-4247-AB99-BF34F641D2B9}"/>
            </c:ext>
          </c:extLst>
        </c:ser>
        <c:dLbls>
          <c:showLegendKey val="0"/>
          <c:showVal val="0"/>
          <c:showCatName val="0"/>
          <c:showSerName val="0"/>
          <c:showPercent val="0"/>
          <c:showBubbleSize val="0"/>
        </c:dLbls>
        <c:marker val="1"/>
        <c:smooth val="0"/>
        <c:axId val="90328351"/>
        <c:axId val="90328831"/>
      </c:lineChart>
      <c:catAx>
        <c:axId val="9032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8831"/>
        <c:crosses val="autoZero"/>
        <c:auto val="1"/>
        <c:lblAlgn val="ctr"/>
        <c:lblOffset val="100"/>
        <c:noMultiLvlLbl val="0"/>
      </c:catAx>
      <c:valAx>
        <c:axId val="90328831"/>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8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NVIDIA DCF Valuation</a:t>
            </a:r>
            <a:r>
              <a:rPr lang="en-GB" baseline="0"/>
              <a:t> Summary vs. Current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'Football Field '!$C$3</c:f>
              <c:strCache>
                <c:ptCount val="1"/>
                <c:pt idx="0">
                  <c:v>Low</c:v>
                </c:pt>
              </c:strCache>
            </c:strRef>
          </c:tx>
          <c:spPr>
            <a:noFill/>
            <a:ln>
              <a:noFill/>
            </a:ln>
            <a:effectLst/>
          </c:spPr>
          <c:invertIfNegative val="0"/>
          <c:cat>
            <c:strRef>
              <c:f>'Football Field '!$B$4:$B$6</c:f>
              <c:strCache>
                <c:ptCount val="3"/>
                <c:pt idx="0">
                  <c:v>DCF (Perpetuity Growth)</c:v>
                </c:pt>
                <c:pt idx="1">
                  <c:v>DCF (Exit Multiple)</c:v>
                </c:pt>
                <c:pt idx="2">
                  <c:v>Current Price</c:v>
                </c:pt>
              </c:strCache>
            </c:strRef>
          </c:cat>
          <c:val>
            <c:numRef>
              <c:f>'Football Field '!$C$4:$C$6</c:f>
              <c:numCache>
                <c:formatCode>General</c:formatCode>
                <c:ptCount val="3"/>
                <c:pt idx="0">
                  <c:v>64.859502020566111</c:v>
                </c:pt>
                <c:pt idx="1">
                  <c:v>68.216307716113505</c:v>
                </c:pt>
                <c:pt idx="2">
                  <c:v>207.41</c:v>
                </c:pt>
              </c:numCache>
            </c:numRef>
          </c:val>
          <c:extLst>
            <c:ext xmlns:c16="http://schemas.microsoft.com/office/drawing/2014/chart" uri="{C3380CC4-5D6E-409C-BE32-E72D297353CC}">
              <c16:uniqueId val="{00000000-C0D4-4815-A7AA-861BA232B2F8}"/>
            </c:ext>
          </c:extLst>
        </c:ser>
        <c:ser>
          <c:idx val="1"/>
          <c:order val="1"/>
          <c:tx>
            <c:strRef>
              <c:f>'Football Field '!$E$3</c:f>
              <c:strCache>
                <c:ptCount val="1"/>
                <c:pt idx="0">
                  <c:v>Range</c:v>
                </c:pt>
              </c:strCache>
            </c:strRef>
          </c:tx>
          <c:spPr>
            <a:solidFill>
              <a:schemeClr val="accent2"/>
            </a:solidFill>
            <a:ln>
              <a:noFill/>
            </a:ln>
            <a:effectLst/>
          </c:spPr>
          <c:invertIfNegative val="0"/>
          <c:dPt>
            <c:idx val="2"/>
            <c:invertIfNegative val="0"/>
            <c:bubble3D val="0"/>
            <c:spPr>
              <a:solidFill>
                <a:schemeClr val="tx1"/>
              </a:solidFill>
              <a:ln>
                <a:solidFill>
                  <a:schemeClr val="tx1"/>
                </a:solidFill>
              </a:ln>
              <a:effectLst/>
            </c:spPr>
            <c:extLst>
              <c:ext xmlns:c16="http://schemas.microsoft.com/office/drawing/2014/chart" uri="{C3380CC4-5D6E-409C-BE32-E72D297353CC}">
                <c16:uniqueId val="{00000002-C0D4-4815-A7AA-861BA232B2F8}"/>
              </c:ext>
            </c:extLst>
          </c:dPt>
          <c:dLbls>
            <c:dLbl>
              <c:idx val="0"/>
              <c:layout>
                <c:manualLayout>
                  <c:x val="0.15771096029410836"/>
                  <c:y val="-5.5873044659170465E-2"/>
                </c:manualLayout>
              </c:layout>
              <c:tx>
                <c:rich>
                  <a:bodyPr/>
                  <a:lstStyle/>
                  <a:p>
                    <a:r>
                      <a:rPr lang="en-US"/>
                      <a:t>$64 - $79</a:t>
                    </a:r>
                  </a:p>
                </c:rich>
              </c:tx>
              <c:showLegendKey val="0"/>
              <c:showVal val="1"/>
              <c:showCatName val="0"/>
              <c:showSerName val="0"/>
              <c:showPercent val="0"/>
              <c:showBubbleSize val="0"/>
              <c:extLst>
                <c:ext xmlns:c15="http://schemas.microsoft.com/office/drawing/2012/chart" uri="{CE6537A1-D6FC-4f65-9D91-7224C49458BB}">
                  <c15:layout>
                    <c:manualLayout>
                      <c:w val="0.1319630142511457"/>
                      <c:h val="0.11626242948546316"/>
                    </c:manualLayout>
                  </c15:layout>
                  <c15:showDataLabelsRange val="0"/>
                </c:ext>
                <c:ext xmlns:c16="http://schemas.microsoft.com/office/drawing/2014/chart" uri="{C3380CC4-5D6E-409C-BE32-E72D297353CC}">
                  <c16:uniqueId val="{00000003-C0D4-4815-A7AA-861BA232B2F8}"/>
                </c:ext>
              </c:extLst>
            </c:dLbl>
            <c:dLbl>
              <c:idx val="1"/>
              <c:layout>
                <c:manualLayout>
                  <c:x val="0.15354055030955588"/>
                  <c:y val="-3.7248701689694873E-2"/>
                </c:manualLayout>
              </c:layout>
              <c:tx>
                <c:rich>
                  <a:bodyPr/>
                  <a:lstStyle/>
                  <a:p>
                    <a:r>
                      <a:rPr lang="en-US"/>
                      <a:t>$68-$83</a:t>
                    </a:r>
                  </a:p>
                </c:rich>
              </c:tx>
              <c:showLegendKey val="0"/>
              <c:showVal val="1"/>
              <c:showCatName val="0"/>
              <c:showSerName val="0"/>
              <c:showPercent val="0"/>
              <c:showBubbleSize val="0"/>
              <c:extLst>
                <c:ext xmlns:c15="http://schemas.microsoft.com/office/drawing/2012/chart" uri="{CE6537A1-D6FC-4f65-9D91-7224C49458BB}">
                  <c15:layout>
                    <c:manualLayout>
                      <c:w val="0.12014769532887284"/>
                      <c:h val="0.11626242948546316"/>
                    </c:manualLayout>
                  </c15:layout>
                  <c15:showDataLabelsRange val="0"/>
                </c:ext>
                <c:ext xmlns:c16="http://schemas.microsoft.com/office/drawing/2014/chart" uri="{C3380CC4-5D6E-409C-BE32-E72D297353CC}">
                  <c16:uniqueId val="{00000004-C0D4-4815-A7AA-861BA232B2F8}"/>
                </c:ext>
              </c:extLst>
            </c:dLbl>
            <c:dLbl>
              <c:idx val="2"/>
              <c:layout>
                <c:manualLayout>
                  <c:x val="-3.5284446585182018E-2"/>
                  <c:y val="0.114074100688037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$207.41</a:t>
                    </a:r>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31715064717267"/>
                      <c:h val="6.9771628159859919E-2"/>
                    </c:manualLayout>
                  </c15:layout>
                  <c15:showDataLabelsRange val="0"/>
                </c:ext>
                <c:ext xmlns:c16="http://schemas.microsoft.com/office/drawing/2014/chart" uri="{C3380CC4-5D6E-409C-BE32-E72D297353CC}">
                  <c16:uniqueId val="{00000002-C0D4-4815-A7AA-861BA232B2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'!$B$4:$B$6</c:f>
              <c:strCache>
                <c:ptCount val="3"/>
                <c:pt idx="0">
                  <c:v>DCF (Perpetuity Growth)</c:v>
                </c:pt>
                <c:pt idx="1">
                  <c:v>DCF (Exit Multiple)</c:v>
                </c:pt>
                <c:pt idx="2">
                  <c:v>Current Price</c:v>
                </c:pt>
              </c:strCache>
            </c:strRef>
          </c:cat>
          <c:val>
            <c:numRef>
              <c:f>'Football Field '!$E$4:$E$6</c:f>
              <c:numCache>
                <c:formatCode>General</c:formatCode>
                <c:ptCount val="3"/>
                <c:pt idx="0">
                  <c:v>14.413222671236923</c:v>
                </c:pt>
                <c:pt idx="1">
                  <c:v>15.159179492469676</c:v>
                </c:pt>
                <c:pt idx="2">
                  <c:v>0.5</c:v>
                </c:pt>
              </c:numCache>
            </c:numRef>
          </c:val>
          <c:extLst>
            <c:ext xmlns:c16="http://schemas.microsoft.com/office/drawing/2014/chart" uri="{C3380CC4-5D6E-409C-BE32-E72D297353CC}">
              <c16:uniqueId val="{00000001-C0D4-4815-A7AA-861BA232B2F8}"/>
            </c:ext>
          </c:extLst>
        </c:ser>
        <c:dLbls>
          <c:showLegendKey val="0"/>
          <c:showVal val="0"/>
          <c:showCatName val="0"/>
          <c:showSerName val="0"/>
          <c:showPercent val="0"/>
          <c:showBubbleSize val="0"/>
        </c:dLbls>
        <c:gapWidth val="150"/>
        <c:overlap val="100"/>
        <c:axId val="1964226320"/>
        <c:axId val="1964219120"/>
      </c:barChart>
      <c:catAx>
        <c:axId val="19642263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19120"/>
        <c:crosses val="autoZero"/>
        <c:auto val="1"/>
        <c:lblAlgn val="ctr"/>
        <c:lblOffset val="100"/>
        <c:noMultiLvlLbl val="0"/>
      </c:catAx>
      <c:valAx>
        <c:axId val="1964219120"/>
        <c:scaling>
          <c:orientation val="minMax"/>
          <c:max val="250"/>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data id="1">
      <cx:strDim type="cat">
        <cx:f>_xlchart.v1.3</cx:f>
      </cx:strDim>
      <cx:numDim type="val">
        <cx:f>_xlchart.v1.7</cx:f>
      </cx:numDim>
    </cx:data>
  </cx:chartData>
  <cx:chart>
    <cx:title pos="t" align="ctr" overlay="0">
      <cx:tx>
        <cx:txData>
          <cx:v>NVIDIA DCF Value Bridge: FCFF  to implied Equity Value ($M)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NVIDIA DCF Value Bridge: FCFF  to implied Equity Value ($M)</a:t>
          </a:r>
        </a:p>
      </cx:txPr>
    </cx:title>
    <cx:plotArea>
      <cx:plotAreaRegion>
        <cx:series layoutId="waterfall" uniqueId="{00000000-74C1-4FCE-A824-C83AFF425C23}" formatIdx="0">
          <cx:tx>
            <cx:txData>
              <cx:f>_xlchart.v1.4</cx:f>
              <cx:v>Value</cx:v>
            </cx:txData>
          </cx:tx>
          <cx:dataLabels pos="outEnd">
            <cx:visibility seriesName="0" categoryName="0" value="1"/>
          </cx:dataLabels>
          <cx:dataId val="0"/>
          <cx:layoutPr>
            <cx:subtotals>
              <cx:idx val="2"/>
              <cx:idx val="5"/>
            </cx:subtotals>
          </cx:layoutPr>
        </cx:series>
        <cx:series layoutId="waterfall" hidden="1" uniqueId="{00000001-74C1-4FCE-A824-C83AFF425C23}" formatIdx="1">
          <cx:tx>
            <cx:txData>
              <cx:f>_xlchart.v1.6</cx:f>
              <cx:v>Type</cx:v>
            </cx:txData>
          </cx:tx>
          <cx:dataLabels pos="outEnd">
            <cx:visibility seriesName="0" categoryName="0" value="1"/>
          </cx:dataLabels>
          <cx:dataId val="1"/>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NVIDIA  FCFF Waterfall by Component FY2027E</cx:v>
        </cx:txData>
      </cx:tx>
    </cx:title>
    <cx:plotArea>
      <cx:plotAreaRegion>
        <cx:series layoutId="waterfall" uniqueId="{00000000-9884-4660-97CD-519DE7F5CBFE}">
          <cx:tx>
            <cx:txData>
              <cx:f>_xlchart.v1.1</cx:f>
              <cx:v>FY2027E</cx:v>
            </cx:txData>
          </cx:tx>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339812</xdr:colOff>
      <xdr:row>2</xdr:row>
      <xdr:rowOff>162697</xdr:rowOff>
    </xdr:from>
    <xdr:to>
      <xdr:col>20</xdr:col>
      <xdr:colOff>51487</xdr:colOff>
      <xdr:row>17</xdr:row>
      <xdr:rowOff>125627</xdr:rowOff>
    </xdr:to>
    <xdr:graphicFrame macro="">
      <xdr:nvGraphicFramePr>
        <xdr:cNvPr id="5" name="Chart 4">
          <a:extLst>
            <a:ext uri="{FF2B5EF4-FFF2-40B4-BE49-F238E27FC236}">
              <a16:creationId xmlns:a16="http://schemas.microsoft.com/office/drawing/2014/main" id="{18590004-1334-7C28-81E2-811870AAF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226540</xdr:colOff>
      <xdr:row>6</xdr:row>
      <xdr:rowOff>10297</xdr:rowOff>
    </xdr:from>
    <xdr:to>
      <xdr:col>16</xdr:col>
      <xdr:colOff>236837</xdr:colOff>
      <xdr:row>10</xdr:row>
      <xdr:rowOff>133864</xdr:rowOff>
    </xdr:to>
    <xdr:cxnSp macro="">
      <xdr:nvCxnSpPr>
        <xdr:cNvPr id="7" name="Straight Connector 6">
          <a:extLst>
            <a:ext uri="{FF2B5EF4-FFF2-40B4-BE49-F238E27FC236}">
              <a16:creationId xmlns:a16="http://schemas.microsoft.com/office/drawing/2014/main" id="{D657EF33-B8B4-14B7-E37C-04C3B0710677}"/>
            </a:ext>
          </a:extLst>
        </xdr:cNvPr>
        <xdr:cNvCxnSpPr/>
      </xdr:nvCxnSpPr>
      <xdr:spPr>
        <a:xfrm flipV="1">
          <a:off x="11852189" y="1122405"/>
          <a:ext cx="10297" cy="864973"/>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297180</xdr:colOff>
      <xdr:row>1</xdr:row>
      <xdr:rowOff>179070</xdr:rowOff>
    </xdr:from>
    <xdr:to>
      <xdr:col>19</xdr:col>
      <xdr:colOff>259080</xdr:colOff>
      <xdr:row>16</xdr:row>
      <xdr:rowOff>179070</xdr:rowOff>
    </xdr:to>
    <xdr:graphicFrame macro="">
      <xdr:nvGraphicFramePr>
        <xdr:cNvPr id="2" name="Chart 1">
          <a:extLst>
            <a:ext uri="{FF2B5EF4-FFF2-40B4-BE49-F238E27FC236}">
              <a16:creationId xmlns:a16="http://schemas.microsoft.com/office/drawing/2014/main" id="{A4433182-D678-A0B1-113E-24DAA185A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0.51167</cdr:x>
      <cdr:y>0.17083</cdr:y>
    </cdr:from>
    <cdr:to>
      <cdr:x>0.51333</cdr:x>
      <cdr:y>0.78472</cdr:y>
    </cdr:to>
    <cdr:cxnSp macro="">
      <cdr:nvCxnSpPr>
        <cdr:cNvPr id="3" name="Straight Connector 2">
          <a:extLst xmlns:a="http://schemas.openxmlformats.org/drawingml/2006/main">
            <a:ext uri="{FF2B5EF4-FFF2-40B4-BE49-F238E27FC236}">
              <a16:creationId xmlns:a16="http://schemas.microsoft.com/office/drawing/2014/main" id="{ED4360D7-AA95-1E19-910A-8E04F193148B}"/>
            </a:ext>
          </a:extLst>
        </cdr:cNvPr>
        <cdr:cNvCxnSpPr/>
      </cdr:nvCxnSpPr>
      <cdr:spPr>
        <a:xfrm xmlns:a="http://schemas.openxmlformats.org/drawingml/2006/main" flipH="1" flipV="1">
          <a:off x="2339340" y="468630"/>
          <a:ext cx="7620" cy="1684020"/>
        </a:xfrm>
        <a:prstGeom xmlns:a="http://schemas.openxmlformats.org/drawingml/2006/main" prst="line">
          <a:avLst/>
        </a:prstGeom>
      </cdr:spPr>
      <cdr:style>
        <a:lnRef xmlns:a="http://schemas.openxmlformats.org/drawingml/2006/main" idx="3">
          <a:schemeClr val="accent4"/>
        </a:lnRef>
        <a:fillRef xmlns:a="http://schemas.openxmlformats.org/drawingml/2006/main" idx="0">
          <a:schemeClr val="accent4"/>
        </a:fillRef>
        <a:effectRef xmlns:a="http://schemas.openxmlformats.org/drawingml/2006/main" idx="2">
          <a:schemeClr val="accent4"/>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13</xdr:col>
      <xdr:colOff>435430</xdr:colOff>
      <xdr:row>1</xdr:row>
      <xdr:rowOff>168729</xdr:rowOff>
    </xdr:from>
    <xdr:to>
      <xdr:col>20</xdr:col>
      <xdr:colOff>478973</xdr:colOff>
      <xdr:row>16</xdr:row>
      <xdr:rowOff>136072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18AA9D0-476F-7B2F-D6A5-27C510971F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75770" y="351609"/>
              <a:ext cx="4585063" cy="271054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957943</xdr:colOff>
      <xdr:row>20</xdr:row>
      <xdr:rowOff>38099</xdr:rowOff>
    </xdr:from>
    <xdr:to>
      <xdr:col>19</xdr:col>
      <xdr:colOff>413658</xdr:colOff>
      <xdr:row>34</xdr:row>
      <xdr:rowOff>190499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84D722F-7873-82AC-8A7D-479FD51310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101943" y="3695699"/>
              <a:ext cx="4583975" cy="27127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447848</xdr:colOff>
      <xdr:row>8</xdr:row>
      <xdr:rowOff>94904</xdr:rowOff>
    </xdr:from>
    <xdr:to>
      <xdr:col>7</xdr:col>
      <xdr:colOff>573924</xdr:colOff>
      <xdr:row>23</xdr:row>
      <xdr:rowOff>94903</xdr:rowOff>
    </xdr:to>
    <xdr:graphicFrame macro="">
      <xdr:nvGraphicFramePr>
        <xdr:cNvPr id="5" name="Chart 4">
          <a:extLst>
            <a:ext uri="{FF2B5EF4-FFF2-40B4-BE49-F238E27FC236}">
              <a16:creationId xmlns:a16="http://schemas.microsoft.com/office/drawing/2014/main" id="{C115F833-84C2-EF55-15FC-B988AA234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2426C-74DB-4556-80AC-A9883BD3734E}" name="Table1" displayName="Table1" ref="B4:L9" totalsRowShown="0" headerRowDxfId="22" dataDxfId="21" tableBorderDxfId="20">
  <autoFilter ref="B4:L9" xr:uid="{A1F2426C-74DB-4556-80AC-A9883BD3734E}"/>
  <tableColumns count="11">
    <tableColumn id="1" xr3:uid="{82CF801F-D53B-4A8A-928B-F3941E3BE65C}" name="Item" dataDxfId="19"/>
    <tableColumn id="11" xr3:uid="{69C7B6EE-E191-4C93-AC9D-71A93DECE117}" name="FY2022A" dataDxfId="18"/>
    <tableColumn id="10" xr3:uid="{C354316D-FA11-465A-A710-0FDA525CE040}" name="FY2023A" dataDxfId="17"/>
    <tableColumn id="9" xr3:uid="{167FEC7E-29C2-43D5-BDC0-94DA4E40A13D}" name="FY2024A" dataDxfId="16"/>
    <tableColumn id="8" xr3:uid="{75C3B274-0708-44D2-8615-365BDF4B22B9}" name="FY2025A" dataDxfId="15"/>
    <tableColumn id="7" xr3:uid="{DEF29D16-AD9A-4741-8F69-48FA7B6CCCDF}" name="FY2026A" dataDxfId="14"/>
    <tableColumn id="2" xr3:uid="{1DC4A1D7-7CE3-4A84-AF67-8AD5DDF75845}" name="FY2027E" dataDxfId="13"/>
    <tableColumn id="3" xr3:uid="{F77B7185-3697-4BD2-B76A-0EE4ADCCB50E}" name="FY2028E" dataDxfId="12"/>
    <tableColumn id="4" xr3:uid="{EC648A41-2B2F-4F3E-9381-A753CDA6593E}" name="FY2029E" dataDxfId="11"/>
    <tableColumn id="5" xr3:uid="{13F808CD-5849-4860-9250-23ED48AEFFBD}" name="FY2030E" dataDxfId="10"/>
    <tableColumn id="6" xr3:uid="{79444024-E140-4532-87F0-ACF63A27E1B8}" name="FY2031E" dataDxfId="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332630-FCC3-4B0D-9AD1-B7C08FBD4231}" name="Table9" displayName="Table9" ref="B4:C14" totalsRowShown="0" headerRowDxfId="8" dataDxfId="6" headerRowBorderDxfId="7" tableBorderDxfId="5">
  <autoFilter ref="B4:C14" xr:uid="{0A332630-FCC3-4B0D-9AD1-B7C08FBD4231}"/>
  <tableColumns count="2">
    <tableColumn id="1" xr3:uid="{4D0B893B-E2A1-4EED-918C-37DA6E6EE50A}" name="Item" dataDxfId="4"/>
    <tableColumn id="2" xr3:uid="{A62F2BC3-E321-4C66-B5F8-015FF82F2946}" name="Value"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67AA2A-320C-47A1-BC1C-2D6583526564}" name="Table3" displayName="Table3" ref="G32:L37" totalsRowShown="0" headerRowDxfId="31" dataDxfId="30" tableBorderDxfId="29">
  <autoFilter ref="G32:L37" xr:uid="{7F67AA2A-320C-47A1-BC1C-2D6583526564}"/>
  <tableColumns count="6">
    <tableColumn id="1" xr3:uid="{667301C6-5D0A-4470-BF45-1C06C0EFD69D}" name="Item" dataDxfId="28"/>
    <tableColumn id="2" xr3:uid="{53FC094D-D140-4C04-94F7-884EA5B73FFA}" name="FY2027E" dataDxfId="27">
      <calculatedColumnFormula>H6</calculatedColumnFormula>
    </tableColumn>
    <tableColumn id="3" xr3:uid="{5414790E-A311-4C0B-B23C-7BCFF2253B82}" name="FY2028E" dataDxfId="26"/>
    <tableColumn id="4" xr3:uid="{6E49793D-B65E-4F7B-A7F0-68F538A9209A}" name="FY2029E" dataDxfId="25"/>
    <tableColumn id="5" xr3:uid="{67CAA104-2783-4534-88C0-A4D02FDE5F42}" name="FY2030E" dataDxfId="24"/>
    <tableColumn id="6" xr3:uid="{4884F320-E8AA-41A6-9CD8-B9BA04DBEF3B}" name="FY2031E" dataDxfId="2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14AF-F8AD-44D5-94B1-823A7317BF30}">
  <dimension ref="B3:C26"/>
  <sheetViews>
    <sheetView zoomScale="60" zoomScaleNormal="115" workbookViewId="0">
      <selection activeCell="C20" sqref="C20"/>
    </sheetView>
  </sheetViews>
  <sheetFormatPr defaultRowHeight="14.4" x14ac:dyDescent="0.3"/>
  <cols>
    <col min="1" max="1" width="8.88671875" style="1"/>
    <col min="2" max="2" width="24.77734375" style="1" customWidth="1"/>
    <col min="3" max="3" width="38.109375" style="1" customWidth="1"/>
    <col min="4" max="16384" width="8.88671875" style="1"/>
  </cols>
  <sheetData>
    <row r="3" spans="2:3" ht="28.8" x14ac:dyDescent="0.55000000000000004">
      <c r="B3" s="194" t="s">
        <v>0</v>
      </c>
      <c r="C3" s="194"/>
    </row>
    <row r="4" spans="2:3" ht="18" x14ac:dyDescent="0.35">
      <c r="B4" s="195" t="s">
        <v>1</v>
      </c>
      <c r="C4" s="195"/>
    </row>
    <row r="5" spans="2:3" x14ac:dyDescent="0.3">
      <c r="B5" s="196" t="s">
        <v>2</v>
      </c>
      <c r="C5" s="196"/>
    </row>
    <row r="6" spans="2:3" ht="5.4" customHeight="1" x14ac:dyDescent="0.3">
      <c r="B6" s="197"/>
      <c r="C6" s="197"/>
    </row>
    <row r="8" spans="2:3" x14ac:dyDescent="0.3">
      <c r="B8" s="198" t="s">
        <v>3</v>
      </c>
      <c r="C8" s="199"/>
    </row>
    <row r="9" spans="2:3" ht="28.8" x14ac:dyDescent="0.3">
      <c r="B9" s="174" t="s">
        <v>4</v>
      </c>
      <c r="C9" s="175" t="s">
        <v>241</v>
      </c>
    </row>
    <row r="10" spans="2:3" ht="28.8" x14ac:dyDescent="0.3">
      <c r="B10" s="178" t="s">
        <v>5</v>
      </c>
      <c r="C10" s="176" t="s">
        <v>242</v>
      </c>
    </row>
    <row r="11" spans="2:3" x14ac:dyDescent="0.3">
      <c r="B11" s="174" t="s">
        <v>6</v>
      </c>
      <c r="C11" s="177" t="s">
        <v>243</v>
      </c>
    </row>
    <row r="12" spans="2:3" x14ac:dyDescent="0.3">
      <c r="B12" s="178" t="s">
        <v>7</v>
      </c>
      <c r="C12" s="176" t="s">
        <v>244</v>
      </c>
    </row>
    <row r="13" spans="2:3" x14ac:dyDescent="0.3">
      <c r="B13" s="174" t="s">
        <v>8</v>
      </c>
      <c r="C13" s="177" t="s">
        <v>252</v>
      </c>
    </row>
    <row r="14" spans="2:3" x14ac:dyDescent="0.3">
      <c r="B14" s="178" t="s">
        <v>9</v>
      </c>
      <c r="C14" s="176" t="s">
        <v>245</v>
      </c>
    </row>
    <row r="15" spans="2:3" x14ac:dyDescent="0.3">
      <c r="B15" s="174" t="s">
        <v>10</v>
      </c>
      <c r="C15" s="177" t="s">
        <v>246</v>
      </c>
    </row>
    <row r="16" spans="2:3" ht="28.8" x14ac:dyDescent="0.3">
      <c r="B16" s="178" t="s">
        <v>11</v>
      </c>
      <c r="C16" s="176" t="s">
        <v>247</v>
      </c>
    </row>
    <row r="17" spans="2:3" x14ac:dyDescent="0.3">
      <c r="B17" s="174" t="s">
        <v>12</v>
      </c>
      <c r="C17" s="177" t="s">
        <v>248</v>
      </c>
    </row>
    <row r="18" spans="2:3" ht="28.8" x14ac:dyDescent="0.3">
      <c r="B18" s="178" t="s">
        <v>13</v>
      </c>
      <c r="C18" s="176" t="s">
        <v>249</v>
      </c>
    </row>
    <row r="19" spans="2:3" x14ac:dyDescent="0.3">
      <c r="B19" s="174" t="s">
        <v>14</v>
      </c>
      <c r="C19" s="177" t="s">
        <v>250</v>
      </c>
    </row>
    <row r="20" spans="2:3" x14ac:dyDescent="0.3">
      <c r="B20" s="178" t="s">
        <v>15</v>
      </c>
      <c r="C20" s="176" t="s">
        <v>251</v>
      </c>
    </row>
    <row r="22" spans="2:3" x14ac:dyDescent="0.3">
      <c r="B22" s="4" t="s">
        <v>197</v>
      </c>
      <c r="C22" s="4" t="s">
        <v>199</v>
      </c>
    </row>
    <row r="23" spans="2:3" x14ac:dyDescent="0.3">
      <c r="B23" s="2" t="s">
        <v>198</v>
      </c>
      <c r="C23" s="3">
        <v>46191</v>
      </c>
    </row>
    <row r="25" spans="2:3" x14ac:dyDescent="0.3">
      <c r="B25" s="191" t="s">
        <v>200</v>
      </c>
      <c r="C25" s="191"/>
    </row>
    <row r="26" spans="2:3" ht="132.6" customHeight="1" x14ac:dyDescent="0.3">
      <c r="B26" s="192" t="s">
        <v>253</v>
      </c>
      <c r="C26" s="193"/>
    </row>
  </sheetData>
  <mergeCells count="7">
    <mergeCell ref="B25:C25"/>
    <mergeCell ref="B26:C26"/>
    <mergeCell ref="B3:C3"/>
    <mergeCell ref="B4:C4"/>
    <mergeCell ref="B5:C5"/>
    <mergeCell ref="B6:C6"/>
    <mergeCell ref="B8:C8"/>
  </mergeCells>
  <hyperlinks>
    <hyperlink ref="B9" location="Assumptions!A1" display="1. Assumptions" xr:uid="{4149B67A-38CE-44D6-8A98-CE28336FA825}"/>
    <hyperlink ref="B10" location="'Income Statement'!A1" display="2. Income Statement" xr:uid="{AB9A72CA-E961-4D05-B4CC-B152D079B3B8}"/>
    <hyperlink ref="B11" location="'Balance Sheet'!A1" display="3. Balance Sheet" xr:uid="{08CFBDED-80B6-41F4-9074-F69B1A98BF18}"/>
    <hyperlink ref="B12" location="'Cash Flow Statement'!A1" display="4. Cash Flow Statement" xr:uid="{47FAC01D-C19D-4B4D-9364-1D15E8F1FD1A}"/>
    <hyperlink ref="B13" location="'Working Capital Schedule'!A1" display="5. Working Capital Schedule" xr:uid="{E6008146-02EA-4367-B40B-6BBBEDE73158}"/>
    <hyperlink ref="B14" location="'PP&amp;E Schedule'!A1" display="6. PP&amp;E Schedule" xr:uid="{0C23BC1E-1CBB-4EB4-8B0C-A4F0D46F3D7A}"/>
    <hyperlink ref="B15" location="'Debt Schedule'!A1" display="7. Debt Schedule" xr:uid="{C8BCC7C0-0B2B-40EA-9729-2898339D3ECD}"/>
    <hyperlink ref="B16" location="WACC!A1" display="8. WACC" xr:uid="{4BF3C7B5-30C9-4ABB-AADE-7B7D9CEC90ED}"/>
    <hyperlink ref="B17" location="DCF!A1" display="9. DCF" xr:uid="{DD158A04-9E18-4E7E-BF90-C9D4F68B5999}"/>
    <hyperlink ref="B18" location="'Terminal Value'!A1" display="10. Terminal Value" xr:uid="{3125C4D8-E1E9-48AA-8A69-273471BCDD60}"/>
    <hyperlink ref="B19" location="Sensitivity!A1" display="11. Sensitivity" xr:uid="{9FDC5D68-38EA-4E56-B069-1673D55ECB46}"/>
    <hyperlink ref="B20" location="'Football Field '!A1" display="12. Football Field / Output" xr:uid="{1204C7FE-806F-46FC-94AA-F12150BB38DA}"/>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737F-79D9-4995-83E6-4294F9FF3564}">
  <dimension ref="B1:G48"/>
  <sheetViews>
    <sheetView zoomScale="85" zoomScaleNormal="40" workbookViewId="0">
      <selection activeCell="K7" sqref="K7"/>
    </sheetView>
  </sheetViews>
  <sheetFormatPr defaultRowHeight="14.4" x14ac:dyDescent="0.3"/>
  <cols>
    <col min="1" max="1" width="39.21875" style="1" customWidth="1"/>
    <col min="2" max="2" width="28.44140625" style="1" customWidth="1"/>
    <col min="3" max="3" width="12.6640625" style="1" bestFit="1" customWidth="1"/>
    <col min="4" max="6" width="8.88671875" style="1"/>
    <col min="7" max="7" width="48.44140625" style="1" customWidth="1"/>
    <col min="8" max="16384" width="8.88671875" style="1"/>
  </cols>
  <sheetData>
    <row r="1" spans="2:7" x14ac:dyDescent="0.3">
      <c r="B1" s="203" t="s">
        <v>16</v>
      </c>
      <c r="C1" s="204"/>
    </row>
    <row r="2" spans="2:7" ht="28.8" x14ac:dyDescent="0.3">
      <c r="B2" s="18" t="s">
        <v>17</v>
      </c>
      <c r="C2" s="19">
        <v>2</v>
      </c>
    </row>
    <row r="3" spans="2:7" x14ac:dyDescent="0.3">
      <c r="B3" s="20" t="s">
        <v>18</v>
      </c>
      <c r="C3" s="21" t="s">
        <v>58</v>
      </c>
    </row>
    <row r="5" spans="2:7" x14ac:dyDescent="0.3">
      <c r="B5" s="22"/>
      <c r="C5" s="21"/>
      <c r="D5" s="23" t="s">
        <v>20</v>
      </c>
      <c r="E5" s="23" t="s">
        <v>21</v>
      </c>
      <c r="F5" s="24" t="s">
        <v>22</v>
      </c>
    </row>
    <row r="6" spans="2:7" x14ac:dyDescent="0.3">
      <c r="B6" s="205" t="s">
        <v>19</v>
      </c>
      <c r="C6" s="206"/>
      <c r="D6" s="207"/>
      <c r="E6" s="207"/>
      <c r="F6" s="207"/>
      <c r="G6" s="25" t="s">
        <v>201</v>
      </c>
    </row>
    <row r="7" spans="2:7" ht="28.8" x14ac:dyDescent="0.3">
      <c r="B7" s="26" t="s">
        <v>53</v>
      </c>
      <c r="C7" s="27">
        <f>CHOOSE($C$2, D7, E7, F7)</f>
        <v>0.1</v>
      </c>
      <c r="D7" s="28">
        <v>0.06</v>
      </c>
      <c r="E7" s="28">
        <v>0.1</v>
      </c>
      <c r="F7" s="28">
        <v>0.14000000000000001</v>
      </c>
      <c r="G7" s="29" t="s">
        <v>208</v>
      </c>
    </row>
    <row r="8" spans="2:7" ht="27.6" customHeight="1" x14ac:dyDescent="0.3">
      <c r="B8" s="30" t="s">
        <v>54</v>
      </c>
      <c r="C8" s="10">
        <f>CHOOSE($C$2, D8, E8, F8)</f>
        <v>0.09</v>
      </c>
      <c r="D8" s="31">
        <v>0.05</v>
      </c>
      <c r="E8" s="31">
        <v>0.09</v>
      </c>
      <c r="F8" s="31">
        <v>0.12</v>
      </c>
      <c r="G8" s="32" t="s">
        <v>203</v>
      </c>
    </row>
    <row r="9" spans="2:7" ht="28.8" customHeight="1" x14ac:dyDescent="0.3">
      <c r="B9" s="26" t="s">
        <v>55</v>
      </c>
      <c r="C9" s="27">
        <f>CHOOSE($C$2, D9, E9, F9)</f>
        <v>0.08</v>
      </c>
      <c r="D9" s="28">
        <v>4.4999999999999998E-2</v>
      </c>
      <c r="E9" s="28">
        <v>0.08</v>
      </c>
      <c r="F9" s="28">
        <v>0.1</v>
      </c>
      <c r="G9" s="200" t="s">
        <v>204</v>
      </c>
    </row>
    <row r="10" spans="2:7" ht="28.8" customHeight="1" x14ac:dyDescent="0.3">
      <c r="B10" s="30" t="s">
        <v>56</v>
      </c>
      <c r="C10" s="10">
        <f>CHOOSE($C$2, D10, E10, F10)</f>
        <v>6.5000000000000002E-2</v>
      </c>
      <c r="D10" s="31">
        <v>3.5000000000000003E-2</v>
      </c>
      <c r="E10" s="31">
        <v>6.5000000000000002E-2</v>
      </c>
      <c r="F10" s="31">
        <v>0.08</v>
      </c>
      <c r="G10" s="200"/>
    </row>
    <row r="11" spans="2:7" ht="32.4" customHeight="1" x14ac:dyDescent="0.3">
      <c r="B11" s="33" t="s">
        <v>57</v>
      </c>
      <c r="C11" s="34">
        <f>CHOOSE($C$2, D11, E11, F11)</f>
        <v>0.05</v>
      </c>
      <c r="D11" s="35">
        <v>2.5000000000000001E-2</v>
      </c>
      <c r="E11" s="35">
        <v>0.05</v>
      </c>
      <c r="F11" s="35">
        <v>0.06</v>
      </c>
      <c r="G11" s="200"/>
    </row>
    <row r="12" spans="2:7" x14ac:dyDescent="0.3">
      <c r="G12" s="36"/>
    </row>
    <row r="13" spans="2:7" x14ac:dyDescent="0.3">
      <c r="B13" s="203" t="s">
        <v>23</v>
      </c>
      <c r="C13" s="207"/>
      <c r="D13" s="207"/>
      <c r="E13" s="207"/>
      <c r="F13" s="207"/>
      <c r="G13" s="25" t="s">
        <v>201</v>
      </c>
    </row>
    <row r="14" spans="2:7" ht="28.8" x14ac:dyDescent="0.3">
      <c r="B14" s="37" t="s">
        <v>24</v>
      </c>
      <c r="C14" s="38">
        <f>CHOOSE($C$2,D14, E14, F14)</f>
        <v>0.75</v>
      </c>
      <c r="D14" s="28">
        <v>0.7</v>
      </c>
      <c r="E14" s="28">
        <v>0.75</v>
      </c>
      <c r="F14" s="28">
        <v>0.8</v>
      </c>
      <c r="G14" s="39" t="s">
        <v>205</v>
      </c>
    </row>
    <row r="15" spans="2:7" ht="28.8" x14ac:dyDescent="0.3">
      <c r="B15" s="40" t="s">
        <v>25</v>
      </c>
      <c r="C15" s="41">
        <f t="shared" ref="C15:C17" si="0">CHOOSE($C$2,D15, E15, F15)</f>
        <v>0.03</v>
      </c>
      <c r="D15" s="31">
        <v>0.05</v>
      </c>
      <c r="E15" s="31">
        <v>0.03</v>
      </c>
      <c r="F15" s="31">
        <v>0.01</v>
      </c>
      <c r="G15" s="42" t="s">
        <v>206</v>
      </c>
    </row>
    <row r="16" spans="2:7" ht="28.8" x14ac:dyDescent="0.3">
      <c r="B16" s="37" t="s">
        <v>26</v>
      </c>
      <c r="C16" s="38">
        <f t="shared" si="0"/>
        <v>0.09</v>
      </c>
      <c r="D16" s="28">
        <v>0.115</v>
      </c>
      <c r="E16" s="28">
        <v>0.09</v>
      </c>
      <c r="F16" s="28">
        <v>7.4999999999999997E-2</v>
      </c>
      <c r="G16" s="18" t="s">
        <v>207</v>
      </c>
    </row>
    <row r="17" spans="2:7" ht="57.6" x14ac:dyDescent="0.3">
      <c r="B17" s="43" t="s">
        <v>27</v>
      </c>
      <c r="C17" s="44">
        <f t="shared" si="0"/>
        <v>0.25</v>
      </c>
      <c r="D17" s="45">
        <v>0.25</v>
      </c>
      <c r="E17" s="45">
        <v>0.25</v>
      </c>
      <c r="F17" s="45">
        <v>0.25</v>
      </c>
      <c r="G17" s="42" t="s">
        <v>209</v>
      </c>
    </row>
    <row r="18" spans="2:7" x14ac:dyDescent="0.3">
      <c r="G18" s="46"/>
    </row>
    <row r="19" spans="2:7" x14ac:dyDescent="0.3">
      <c r="B19" s="203" t="s">
        <v>28</v>
      </c>
      <c r="C19" s="207"/>
      <c r="D19" s="207"/>
      <c r="E19" s="207"/>
      <c r="F19" s="207"/>
      <c r="G19" s="25" t="s">
        <v>201</v>
      </c>
    </row>
    <row r="20" spans="2:7" ht="30" customHeight="1" x14ac:dyDescent="0.3">
      <c r="B20" s="26" t="s">
        <v>29</v>
      </c>
      <c r="C20" s="47">
        <f>CHOOSE($C$2, D20, E20, F20)</f>
        <v>65</v>
      </c>
      <c r="D20" s="48">
        <v>75</v>
      </c>
      <c r="E20" s="48">
        <v>65</v>
      </c>
      <c r="F20" s="48">
        <v>55</v>
      </c>
      <c r="G20" s="18" t="s">
        <v>210</v>
      </c>
    </row>
    <row r="21" spans="2:7" ht="29.4" customHeight="1" x14ac:dyDescent="0.3">
      <c r="B21" s="30" t="s">
        <v>30</v>
      </c>
      <c r="C21" s="49">
        <f t="shared" ref="C21:C22" si="1">CHOOSE($C$2, D21, E21, F21)</f>
        <v>125</v>
      </c>
      <c r="D21" s="50">
        <v>140</v>
      </c>
      <c r="E21" s="50">
        <v>125</v>
      </c>
      <c r="F21" s="50">
        <v>110</v>
      </c>
      <c r="G21" s="42" t="s">
        <v>211</v>
      </c>
    </row>
    <row r="22" spans="2:7" ht="28.8" x14ac:dyDescent="0.3">
      <c r="B22" s="33" t="s">
        <v>77</v>
      </c>
      <c r="C22" s="51">
        <f t="shared" si="1"/>
        <v>57</v>
      </c>
      <c r="D22" s="52">
        <v>50</v>
      </c>
      <c r="E22" s="52">
        <v>57</v>
      </c>
      <c r="F22" s="52">
        <v>65</v>
      </c>
      <c r="G22" s="18" t="s">
        <v>254</v>
      </c>
    </row>
    <row r="23" spans="2:7" x14ac:dyDescent="0.3">
      <c r="G23" s="46"/>
    </row>
    <row r="24" spans="2:7" x14ac:dyDescent="0.3">
      <c r="B24" s="203" t="s">
        <v>31</v>
      </c>
      <c r="C24" s="207"/>
      <c r="D24" s="207"/>
      <c r="E24" s="207"/>
      <c r="F24" s="207"/>
      <c r="G24" s="25" t="s">
        <v>201</v>
      </c>
    </row>
    <row r="25" spans="2:7" ht="42.6" customHeight="1" x14ac:dyDescent="0.3">
      <c r="B25" s="37" t="s">
        <v>32</v>
      </c>
      <c r="C25" s="38">
        <f>CHOOSE($C$2, D25, E25, F25)</f>
        <v>6.5000000000000002E-2</v>
      </c>
      <c r="D25" s="28">
        <v>0.08</v>
      </c>
      <c r="E25" s="28">
        <v>6.5000000000000002E-2</v>
      </c>
      <c r="F25" s="28">
        <v>0.04</v>
      </c>
      <c r="G25" s="39" t="s">
        <v>223</v>
      </c>
    </row>
    <row r="26" spans="2:7" ht="43.2" x14ac:dyDescent="0.3">
      <c r="B26" s="43" t="s">
        <v>33</v>
      </c>
      <c r="C26" s="44">
        <f>CHOOSE($C$2, D26, E26, F26)</f>
        <v>0.27</v>
      </c>
      <c r="D26" s="45">
        <v>0.23499999999999999</v>
      </c>
      <c r="E26" s="45">
        <v>0.27</v>
      </c>
      <c r="F26" s="45">
        <v>0.30499999999999999</v>
      </c>
      <c r="G26" s="32" t="s">
        <v>212</v>
      </c>
    </row>
    <row r="27" spans="2:7" x14ac:dyDescent="0.3">
      <c r="G27" s="46"/>
    </row>
    <row r="28" spans="2:7" ht="31.2" customHeight="1" x14ac:dyDescent="0.3">
      <c r="B28" s="208" t="s">
        <v>34</v>
      </c>
      <c r="C28" s="209"/>
      <c r="G28" s="25" t="s">
        <v>201</v>
      </c>
    </row>
    <row r="29" spans="2:7" ht="28.8" x14ac:dyDescent="0.3">
      <c r="B29" s="26" t="s">
        <v>35</v>
      </c>
      <c r="C29" s="53">
        <v>0.04</v>
      </c>
      <c r="G29" s="39" t="s">
        <v>213</v>
      </c>
    </row>
    <row r="30" spans="2:7" ht="28.8" x14ac:dyDescent="0.3">
      <c r="B30" s="40" t="s">
        <v>36</v>
      </c>
      <c r="C30" s="54">
        <v>0.05</v>
      </c>
      <c r="G30" s="32" t="s">
        <v>214</v>
      </c>
    </row>
    <row r="31" spans="2:7" ht="28.8" x14ac:dyDescent="0.3">
      <c r="B31" s="37" t="s">
        <v>221</v>
      </c>
      <c r="C31" s="55">
        <v>1.1000000000000001</v>
      </c>
      <c r="G31" s="39" t="s">
        <v>215</v>
      </c>
    </row>
    <row r="32" spans="2:7" ht="28.8" x14ac:dyDescent="0.3">
      <c r="B32" s="40" t="s">
        <v>37</v>
      </c>
      <c r="C32" s="54">
        <v>5.5E-2</v>
      </c>
      <c r="G32" s="32" t="s">
        <v>217</v>
      </c>
    </row>
    <row r="33" spans="2:7" ht="28.8" x14ac:dyDescent="0.3">
      <c r="B33" s="37" t="s">
        <v>38</v>
      </c>
      <c r="C33" s="56">
        <v>3300000</v>
      </c>
      <c r="G33" s="39" t="s">
        <v>216</v>
      </c>
    </row>
    <row r="34" spans="2:7" x14ac:dyDescent="0.3">
      <c r="B34" s="43" t="s">
        <v>39</v>
      </c>
      <c r="C34" s="57">
        <f>'Balance Sheet'!G22+'Balance Sheet'!G24</f>
        <v>8468</v>
      </c>
      <c r="G34" s="58" t="s">
        <v>224</v>
      </c>
    </row>
    <row r="35" spans="2:7" x14ac:dyDescent="0.3">
      <c r="G35" s="46"/>
    </row>
    <row r="36" spans="2:7" ht="27.6" customHeight="1" x14ac:dyDescent="0.3">
      <c r="B36" s="201" t="s">
        <v>40</v>
      </c>
      <c r="C36" s="202"/>
      <c r="G36" s="25" t="s">
        <v>201</v>
      </c>
    </row>
    <row r="37" spans="2:7" ht="28.8" x14ac:dyDescent="0.3">
      <c r="B37" s="37" t="s">
        <v>153</v>
      </c>
      <c r="C37" s="53">
        <v>2.5000000000000001E-2</v>
      </c>
      <c r="G37" s="39" t="s">
        <v>218</v>
      </c>
    </row>
    <row r="38" spans="2:7" ht="28.8" x14ac:dyDescent="0.3">
      <c r="B38" s="40" t="s">
        <v>167</v>
      </c>
      <c r="C38" s="60">
        <v>11</v>
      </c>
      <c r="G38" s="32" t="s">
        <v>219</v>
      </c>
    </row>
    <row r="39" spans="2:7" x14ac:dyDescent="0.3">
      <c r="B39" s="61" t="s">
        <v>41</v>
      </c>
      <c r="C39" s="62">
        <v>24440</v>
      </c>
      <c r="G39" s="39" t="s">
        <v>220</v>
      </c>
    </row>
    <row r="40" spans="2:7" x14ac:dyDescent="0.3">
      <c r="G40" s="46"/>
    </row>
    <row r="41" spans="2:7" ht="31.2" customHeight="1" x14ac:dyDescent="0.3">
      <c r="B41" s="201" t="s">
        <v>202</v>
      </c>
      <c r="C41" s="202"/>
    </row>
    <row r="42" spans="2:7" x14ac:dyDescent="0.3">
      <c r="B42" s="63" t="s">
        <v>150</v>
      </c>
      <c r="C42" s="64">
        <f>AVERAGE('Balance Sheet'!C9/'Income Statement'!C5,'Balance Sheet'!D9/'Income Statement'!D5,'Balance Sheet'!E9/'Income Statement'!E5,'Balance Sheet'!F9/'Income Statement'!F5,'Balance Sheet'!G9/'Income Statement'!G5)</f>
        <v>2.7420703946037527E-2</v>
      </c>
    </row>
    <row r="43" spans="2:7" x14ac:dyDescent="0.3">
      <c r="B43" s="40" t="s">
        <v>151</v>
      </c>
      <c r="C43" s="65">
        <f>AVERAGE('Balance Sheet'!C21/'Income Statement'!C5,'Balance Sheet'!D21/'Income Statement'!D5,'Balance Sheet'!E21/'Income Statement'!E5,'Balance Sheet'!F21/'Income Statement'!F5,'Balance Sheet'!G21/'Income Statement'!G5)</f>
        <v>0.10921248910820491</v>
      </c>
    </row>
    <row r="44" spans="2:7" x14ac:dyDescent="0.3">
      <c r="B44" s="37" t="s">
        <v>152</v>
      </c>
      <c r="C44" s="66">
        <f>AVERAGE('Balance Sheet'!C17/'Income Statement'!C5,'Balance Sheet'!D17/'Income Statement'!D5, 'Balance Sheet'!E17/'Income Statement'!E5,'Balance Sheet'!F17/'Income Statement'!F5,'Balance Sheet'!G17/'Income Statement'!G5)</f>
        <v>8.3983688780147753E-2</v>
      </c>
    </row>
    <row r="45" spans="2:7" x14ac:dyDescent="0.3">
      <c r="B45" s="43" t="s">
        <v>154</v>
      </c>
      <c r="C45" s="67">
        <f>AVERAGE('Cash Flow Statement'!C8/'Income Statement'!C5,
              'Cash Flow Statement'!D8/'Income Statement'!D5,
              'Cash Flow Statement'!E8/'Income Statement'!E5,
              'Cash Flow Statement'!F8/'Income Statement'!F5)</f>
        <v>-2.8607896699208731E-4</v>
      </c>
    </row>
    <row r="47" spans="2:7" x14ac:dyDescent="0.3">
      <c r="B47" s="203" t="s">
        <v>259</v>
      </c>
      <c r="C47" s="204"/>
    </row>
    <row r="48" spans="2:7" ht="46.8" customHeight="1" x14ac:dyDescent="0.3">
      <c r="B48" s="68" t="s">
        <v>42</v>
      </c>
      <c r="C48" s="69" t="str">
        <f>IF(COUNTA(G7,G8,G9,G14,G15,G16,G17,G20,G21,G22,G25,G26,G29,G30,G31,G32,G33,G34,G37,G38,G39) &lt;20, "WARNING: Missing Sources", "Audit Trail OK")</f>
        <v>Audit Trail OK</v>
      </c>
    </row>
  </sheetData>
  <mergeCells count="10">
    <mergeCell ref="G9:G11"/>
    <mergeCell ref="B36:C36"/>
    <mergeCell ref="B47:C47"/>
    <mergeCell ref="B1:C1"/>
    <mergeCell ref="B6:F6"/>
    <mergeCell ref="B13:F13"/>
    <mergeCell ref="B19:F19"/>
    <mergeCell ref="B24:F24"/>
    <mergeCell ref="B28:C28"/>
    <mergeCell ref="B41:C41"/>
  </mergeCells>
  <pageMargins left="0.7" right="0.7" top="0.75" bottom="0.75" header="0.3" footer="0.3"/>
  <pageSetup paperSize="9" orientation="portrait" horizontalDpi="4294967293"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B43E-9F64-4FCA-B83B-418A111B16AC}">
  <dimension ref="B1:L30"/>
  <sheetViews>
    <sheetView topLeftCell="K1" zoomScale="74" zoomScaleNormal="70" workbookViewId="0">
      <selection activeCell="P22" sqref="P22"/>
    </sheetView>
  </sheetViews>
  <sheetFormatPr defaultRowHeight="14.4" x14ac:dyDescent="0.3"/>
  <cols>
    <col min="1" max="1" width="8.88671875" style="1"/>
    <col min="2" max="2" width="23.5546875" style="1" customWidth="1"/>
    <col min="3" max="7" width="10" style="1" customWidth="1"/>
    <col min="8" max="8" width="11.6640625" style="1" bestFit="1" customWidth="1"/>
    <col min="9" max="12" width="9.88671875" style="1" customWidth="1"/>
    <col min="13" max="16384" width="8.88671875" style="1"/>
  </cols>
  <sheetData>
    <row r="1" spans="2:12" x14ac:dyDescent="0.3">
      <c r="D1" s="70"/>
    </row>
    <row r="3" spans="2:12" x14ac:dyDescent="0.3">
      <c r="C3" s="210" t="s">
        <v>104</v>
      </c>
      <c r="D3" s="211"/>
      <c r="E3" s="211"/>
      <c r="F3" s="211"/>
      <c r="G3" s="212"/>
      <c r="H3" s="210" t="s">
        <v>105</v>
      </c>
      <c r="I3" s="211"/>
      <c r="J3" s="211"/>
      <c r="K3" s="211"/>
      <c r="L3" s="212"/>
    </row>
    <row r="4" spans="2:12" x14ac:dyDescent="0.3">
      <c r="B4" s="5" t="s">
        <v>43</v>
      </c>
      <c r="C4" s="5" t="s">
        <v>44</v>
      </c>
      <c r="D4" s="71" t="s">
        <v>45</v>
      </c>
      <c r="E4" s="71" t="s">
        <v>46</v>
      </c>
      <c r="F4" s="71" t="s">
        <v>47</v>
      </c>
      <c r="G4" s="71" t="s">
        <v>52</v>
      </c>
      <c r="H4" s="71" t="s">
        <v>60</v>
      </c>
      <c r="I4" s="71" t="s">
        <v>61</v>
      </c>
      <c r="J4" s="71" t="s">
        <v>62</v>
      </c>
      <c r="K4" s="71" t="s">
        <v>63</v>
      </c>
      <c r="L4" s="72" t="s">
        <v>64</v>
      </c>
    </row>
    <row r="5" spans="2:12" x14ac:dyDescent="0.3">
      <c r="B5" s="7" t="s">
        <v>48</v>
      </c>
      <c r="C5" s="73">
        <v>26914</v>
      </c>
      <c r="D5" s="74">
        <v>26974</v>
      </c>
      <c r="E5" s="74">
        <v>60922</v>
      </c>
      <c r="F5" s="74">
        <v>130497</v>
      </c>
      <c r="G5" s="74">
        <v>215938</v>
      </c>
      <c r="H5" s="75">
        <f>G5*(1+Assumptions!$C$7)</f>
        <v>237531.80000000002</v>
      </c>
      <c r="I5" s="75">
        <f>H5*(1+Assumptions!$C$8)</f>
        <v>258909.66200000004</v>
      </c>
      <c r="J5" s="75">
        <f>I5*(1+Assumptions!$C$9)</f>
        <v>279622.43496000004</v>
      </c>
      <c r="K5" s="75">
        <f>J5*(1+Assumptions!$C$10)</f>
        <v>297797.89323240001</v>
      </c>
      <c r="L5" s="76">
        <f>K5*(1+Assumptions!$C$11)</f>
        <v>312687.78789402003</v>
      </c>
    </row>
    <row r="6" spans="2:12" x14ac:dyDescent="0.3">
      <c r="B6" s="9" t="s">
        <v>49</v>
      </c>
      <c r="C6" s="9" t="s">
        <v>59</v>
      </c>
      <c r="D6" s="77">
        <f>D5/C5-1</f>
        <v>2.2293230289069932E-3</v>
      </c>
      <c r="E6" s="77">
        <f t="shared" ref="E6:G6" si="0">E5/D5-1</f>
        <v>1.2585452658115224</v>
      </c>
      <c r="F6" s="77">
        <f t="shared" si="0"/>
        <v>1.1420340763599355</v>
      </c>
      <c r="G6" s="77">
        <f t="shared" si="0"/>
        <v>0.65473535790094783</v>
      </c>
      <c r="H6" s="77">
        <f t="shared" ref="H6" si="1">H5/G5-1</f>
        <v>0.10000000000000009</v>
      </c>
      <c r="I6" s="77">
        <f t="shared" ref="I6" si="2">I5/H5-1</f>
        <v>9.000000000000008E-2</v>
      </c>
      <c r="J6" s="77">
        <f t="shared" ref="J6" si="3">J5/I5-1</f>
        <v>8.0000000000000071E-2</v>
      </c>
      <c r="K6" s="77">
        <f t="shared" ref="K6" si="4">K5/J5-1</f>
        <v>6.4999999999999947E-2</v>
      </c>
      <c r="L6" s="65">
        <f t="shared" ref="L6" si="5">L5/K5-1</f>
        <v>5.0000000000000044E-2</v>
      </c>
    </row>
    <row r="7" spans="2:12" x14ac:dyDescent="0.3">
      <c r="B7" s="11" t="s">
        <v>50</v>
      </c>
      <c r="C7" s="78">
        <v>9439</v>
      </c>
      <c r="D7" s="79">
        <v>11618</v>
      </c>
      <c r="E7" s="79">
        <v>16621</v>
      </c>
      <c r="F7" s="79">
        <v>32639</v>
      </c>
      <c r="G7" s="79">
        <v>62475</v>
      </c>
      <c r="H7" s="80">
        <f>H5*(1-Assumptions!$C$14)</f>
        <v>59382.950000000004</v>
      </c>
      <c r="I7" s="80">
        <f>I5*(1-Assumptions!$C$14)</f>
        <v>64727.41550000001</v>
      </c>
      <c r="J7" s="80">
        <f>J5*(1-Assumptions!$C$14)</f>
        <v>69905.608740000011</v>
      </c>
      <c r="K7" s="80">
        <f>K5*(1-Assumptions!$C$14)</f>
        <v>74449.473308100001</v>
      </c>
      <c r="L7" s="81">
        <f>L5*(1-Assumptions!$C$14)</f>
        <v>78171.946973505008</v>
      </c>
    </row>
    <row r="8" spans="2:12" x14ac:dyDescent="0.3">
      <c r="B8" s="9" t="s">
        <v>51</v>
      </c>
      <c r="C8" s="82">
        <f>C5-C7</f>
        <v>17475</v>
      </c>
      <c r="D8" s="70">
        <f t="shared" ref="D8:G8" si="6">D5-D7</f>
        <v>15356</v>
      </c>
      <c r="E8" s="70">
        <f t="shared" si="6"/>
        <v>44301</v>
      </c>
      <c r="F8" s="70">
        <f t="shared" si="6"/>
        <v>97858</v>
      </c>
      <c r="G8" s="70">
        <f t="shared" si="6"/>
        <v>153463</v>
      </c>
      <c r="H8" s="70">
        <f t="shared" ref="H8" si="7">H5-H7</f>
        <v>178148.85</v>
      </c>
      <c r="I8" s="70">
        <f t="shared" ref="I8" si="8">I5-I7</f>
        <v>194182.24650000004</v>
      </c>
      <c r="J8" s="70">
        <f t="shared" ref="J8" si="9">J5-J7</f>
        <v>209716.82622000005</v>
      </c>
      <c r="K8" s="70">
        <f t="shared" ref="K8" si="10">K5-K7</f>
        <v>223348.41992429999</v>
      </c>
      <c r="L8" s="83">
        <f t="shared" ref="L8" si="11">L5-L7</f>
        <v>234515.84092051501</v>
      </c>
    </row>
    <row r="9" spans="2:12" x14ac:dyDescent="0.3">
      <c r="B9" s="11" t="s">
        <v>190</v>
      </c>
      <c r="C9" s="84">
        <f>C8/C5</f>
        <v>0.64929033216913135</v>
      </c>
      <c r="D9" s="85">
        <f t="shared" ref="D9:G9" si="12">D8/D5</f>
        <v>0.56928894490991322</v>
      </c>
      <c r="E9" s="85">
        <f t="shared" si="12"/>
        <v>0.72717573290436954</v>
      </c>
      <c r="F9" s="85">
        <f t="shared" si="12"/>
        <v>0.74988697058169917</v>
      </c>
      <c r="G9" s="85">
        <f t="shared" si="12"/>
        <v>0.71068084357547079</v>
      </c>
      <c r="H9" s="85">
        <f t="shared" ref="H9" si="13">H8/H5</f>
        <v>0.75</v>
      </c>
      <c r="I9" s="85">
        <f t="shared" ref="I9" si="14">I8/I5</f>
        <v>0.75</v>
      </c>
      <c r="J9" s="85">
        <f t="shared" ref="J9" si="15">J8/J5</f>
        <v>0.75</v>
      </c>
      <c r="K9" s="85">
        <f t="shared" ref="K9" si="16">K8/K5</f>
        <v>0.75</v>
      </c>
      <c r="L9" s="86">
        <f t="shared" ref="L9" si="17">L8/L5</f>
        <v>0.75</v>
      </c>
    </row>
    <row r="10" spans="2:12" x14ac:dyDescent="0.3">
      <c r="B10" s="9" t="s">
        <v>65</v>
      </c>
      <c r="C10" s="87">
        <v>2166</v>
      </c>
      <c r="D10" s="88">
        <v>2440</v>
      </c>
      <c r="E10" s="88">
        <v>2654</v>
      </c>
      <c r="F10" s="88">
        <v>3491</v>
      </c>
      <c r="G10" s="88">
        <v>4579</v>
      </c>
      <c r="H10" s="70">
        <f>H5*Assumptions!$C$15</f>
        <v>7125.9540000000006</v>
      </c>
      <c r="I10" s="70">
        <f>I5*Assumptions!$C$15</f>
        <v>7767.2898600000008</v>
      </c>
      <c r="J10" s="70">
        <f>J5*Assumptions!$C$15</f>
        <v>8388.6730488000012</v>
      </c>
      <c r="K10" s="70">
        <f>K5*Assumptions!$C$15</f>
        <v>8933.9367969720006</v>
      </c>
      <c r="L10" s="83">
        <f>L5*Assumptions!$C$15</f>
        <v>9380.6336368206012</v>
      </c>
    </row>
    <row r="11" spans="2:12" x14ac:dyDescent="0.3">
      <c r="B11" s="11" t="s">
        <v>66</v>
      </c>
      <c r="C11" s="78">
        <v>5268</v>
      </c>
      <c r="D11" s="79">
        <v>7339</v>
      </c>
      <c r="E11" s="79">
        <v>8675</v>
      </c>
      <c r="F11" s="79">
        <v>12914</v>
      </c>
      <c r="G11" s="79">
        <v>18497</v>
      </c>
      <c r="H11" s="80">
        <f>H5*Assumptions!$C$16</f>
        <v>21377.862000000001</v>
      </c>
      <c r="I11" s="80">
        <f>I5*Assumptions!$C$16</f>
        <v>23301.869580000002</v>
      </c>
      <c r="J11" s="80">
        <f>J5*Assumptions!$C$16</f>
        <v>25166.019146400002</v>
      </c>
      <c r="K11" s="80">
        <f>K5*Assumptions!$C$16</f>
        <v>26801.810390915998</v>
      </c>
      <c r="L11" s="81">
        <f>L5*Assumptions!$C$16</f>
        <v>28141.900910461802</v>
      </c>
    </row>
    <row r="12" spans="2:12" x14ac:dyDescent="0.3">
      <c r="B12" s="9" t="s">
        <v>76</v>
      </c>
      <c r="C12" s="87">
        <v>0</v>
      </c>
      <c r="D12" s="88">
        <v>1353</v>
      </c>
      <c r="E12" s="88">
        <v>0</v>
      </c>
      <c r="F12" s="88">
        <v>0</v>
      </c>
      <c r="G12" s="88">
        <v>0</v>
      </c>
      <c r="H12" s="88">
        <v>0</v>
      </c>
      <c r="I12" s="88">
        <v>0</v>
      </c>
      <c r="J12" s="88">
        <v>0</v>
      </c>
      <c r="K12" s="88">
        <v>0</v>
      </c>
      <c r="L12" s="89">
        <v>0</v>
      </c>
    </row>
    <row r="13" spans="2:12" x14ac:dyDescent="0.3">
      <c r="B13" s="11" t="s">
        <v>67</v>
      </c>
      <c r="C13" s="90">
        <f>C8-C10-C11-C12</f>
        <v>10041</v>
      </c>
      <c r="D13" s="80">
        <f>D8-D10-D11-D12</f>
        <v>4224</v>
      </c>
      <c r="E13" s="80">
        <f t="shared" ref="E13:G13" si="18">E8-E10-E11-E12</f>
        <v>32972</v>
      </c>
      <c r="F13" s="80">
        <f t="shared" si="18"/>
        <v>81453</v>
      </c>
      <c r="G13" s="80">
        <f t="shared" si="18"/>
        <v>130387</v>
      </c>
      <c r="H13" s="80">
        <f t="shared" ref="H13" si="19">H8-H10-H11-H12</f>
        <v>149645.03400000001</v>
      </c>
      <c r="I13" s="80">
        <f t="shared" ref="I13" si="20">I8-I10-I11-I12</f>
        <v>163113.08706000005</v>
      </c>
      <c r="J13" s="80">
        <f t="shared" ref="J13" si="21">J8-J10-J11-J12</f>
        <v>176162.13402480003</v>
      </c>
      <c r="K13" s="80">
        <f t="shared" ref="K13" si="22">K8-K10-K11-K12</f>
        <v>187612.67273641197</v>
      </c>
      <c r="L13" s="81">
        <f t="shared" ref="L13" si="23">L8-L10-L11-L12</f>
        <v>196993.30637323263</v>
      </c>
    </row>
    <row r="14" spans="2:12" x14ac:dyDescent="0.3">
      <c r="B14" s="9" t="s">
        <v>188</v>
      </c>
      <c r="C14" s="91">
        <f>C13/C5</f>
        <v>0.37307720888756779</v>
      </c>
      <c r="D14" s="31">
        <f t="shared" ref="D14:L14" si="24">D13/D5</f>
        <v>0.1565952398606065</v>
      </c>
      <c r="E14" s="31">
        <f t="shared" si="24"/>
        <v>0.54121663766783756</v>
      </c>
      <c r="F14" s="31">
        <f t="shared" si="24"/>
        <v>0.62417526839697468</v>
      </c>
      <c r="G14" s="31">
        <f t="shared" si="24"/>
        <v>0.60381683631412719</v>
      </c>
      <c r="H14" s="41">
        <f t="shared" si="24"/>
        <v>0.63</v>
      </c>
      <c r="I14" s="41">
        <f t="shared" si="24"/>
        <v>0.63000000000000012</v>
      </c>
      <c r="J14" s="41">
        <f t="shared" si="24"/>
        <v>0.63</v>
      </c>
      <c r="K14" s="41">
        <f t="shared" si="24"/>
        <v>0.62999999999999989</v>
      </c>
      <c r="L14" s="92">
        <f t="shared" si="24"/>
        <v>0.63</v>
      </c>
    </row>
    <row r="15" spans="2:12" x14ac:dyDescent="0.3">
      <c r="B15" s="11" t="s">
        <v>68</v>
      </c>
      <c r="C15" s="78">
        <v>1174</v>
      </c>
      <c r="D15" s="79">
        <v>1554</v>
      </c>
      <c r="E15" s="79">
        <v>1508</v>
      </c>
      <c r="F15" s="93">
        <v>1864</v>
      </c>
      <c r="G15" s="93">
        <v>2843</v>
      </c>
      <c r="H15" s="80">
        <f>'PP&amp;E Schedule'!H7</f>
        <v>2803.4100000000003</v>
      </c>
      <c r="I15" s="80">
        <f>'PP&amp;E Schedule'!I7</f>
        <v>6215.1723900000015</v>
      </c>
      <c r="J15" s="80">
        <f>'PP&amp;E Schedule'!J7</f>
        <v>9080.9404128000024</v>
      </c>
      <c r="K15" s="80">
        <f>'PP&amp;E Schedule'!K7</f>
        <v>11536.460234892003</v>
      </c>
      <c r="L15" s="81">
        <f>'PP&amp;E Schedule'!L7</f>
        <v>13647.968997699783</v>
      </c>
    </row>
    <row r="16" spans="2:12" x14ac:dyDescent="0.3">
      <c r="B16" s="9" t="s">
        <v>69</v>
      </c>
      <c r="C16" s="82">
        <f>C13-C15</f>
        <v>8867</v>
      </c>
      <c r="D16" s="70">
        <f t="shared" ref="D16:L16" si="25">D13-D15</f>
        <v>2670</v>
      </c>
      <c r="E16" s="70">
        <f t="shared" si="25"/>
        <v>31464</v>
      </c>
      <c r="F16" s="70">
        <f t="shared" si="25"/>
        <v>79589</v>
      </c>
      <c r="G16" s="70">
        <f t="shared" si="25"/>
        <v>127544</v>
      </c>
      <c r="H16" s="70">
        <f t="shared" si="25"/>
        <v>146841.62400000001</v>
      </c>
      <c r="I16" s="70">
        <f t="shared" si="25"/>
        <v>156897.91467000006</v>
      </c>
      <c r="J16" s="70">
        <f t="shared" si="25"/>
        <v>167081.19361200003</v>
      </c>
      <c r="K16" s="70">
        <f t="shared" si="25"/>
        <v>176076.21250151997</v>
      </c>
      <c r="L16" s="83">
        <f t="shared" si="25"/>
        <v>183345.33737553284</v>
      </c>
    </row>
    <row r="17" spans="2:12" x14ac:dyDescent="0.3">
      <c r="B17" s="11" t="s">
        <v>189</v>
      </c>
      <c r="C17" s="94">
        <f>C16/C5</f>
        <v>0.32945678828862301</v>
      </c>
      <c r="D17" s="95">
        <f t="shared" ref="D17:L17" si="26">D16/D5</f>
        <v>9.8984207014161787E-2</v>
      </c>
      <c r="E17" s="95">
        <f t="shared" si="26"/>
        <v>0.51646367486293954</v>
      </c>
      <c r="F17" s="95">
        <f t="shared" si="26"/>
        <v>0.60989141512831713</v>
      </c>
      <c r="G17" s="95">
        <f t="shared" si="26"/>
        <v>0.59065102020024263</v>
      </c>
      <c r="H17" s="85">
        <f t="shared" si="26"/>
        <v>0.61819774868038724</v>
      </c>
      <c r="I17" s="85">
        <f t="shared" si="26"/>
        <v>0.60599482251071812</v>
      </c>
      <c r="J17" s="85">
        <f t="shared" si="26"/>
        <v>0.59752427817854092</v>
      </c>
      <c r="K17" s="85">
        <f t="shared" si="26"/>
        <v>0.5912607728359951</v>
      </c>
      <c r="L17" s="86">
        <f t="shared" si="26"/>
        <v>0.58635272778121572</v>
      </c>
    </row>
    <row r="18" spans="2:12" x14ac:dyDescent="0.3">
      <c r="B18" s="9" t="s">
        <v>70</v>
      </c>
      <c r="C18" s="96">
        <v>-236</v>
      </c>
      <c r="D18" s="88">
        <v>-262</v>
      </c>
      <c r="E18" s="88">
        <v>-257</v>
      </c>
      <c r="F18" s="88">
        <v>-247</v>
      </c>
      <c r="G18" s="97">
        <v>-259</v>
      </c>
      <c r="H18" s="70">
        <f>'Debt Schedule'!$C$14</f>
        <v>465.74</v>
      </c>
      <c r="I18" s="70">
        <f>'Debt Schedule'!$C$14</f>
        <v>465.74</v>
      </c>
      <c r="J18" s="70">
        <f>'Debt Schedule'!$C$14</f>
        <v>465.74</v>
      </c>
      <c r="K18" s="70">
        <f>'Debt Schedule'!$C$14</f>
        <v>465.74</v>
      </c>
      <c r="L18" s="83">
        <f>'Debt Schedule'!$C$14</f>
        <v>465.74</v>
      </c>
    </row>
    <row r="19" spans="2:12" x14ac:dyDescent="0.3">
      <c r="B19" s="11" t="s">
        <v>71</v>
      </c>
      <c r="C19" s="78">
        <v>29</v>
      </c>
      <c r="D19" s="79">
        <v>267</v>
      </c>
      <c r="E19" s="79">
        <v>866</v>
      </c>
      <c r="F19" s="79">
        <v>1786</v>
      </c>
      <c r="G19" s="79">
        <v>2300</v>
      </c>
      <c r="H19" s="80">
        <f>H5*AVERAGE($G$19/$G$5,$F$19/$F$5,$E$19/$E$5,$D$19/$D$5)</f>
        <v>2877.143254260403</v>
      </c>
      <c r="I19" s="80">
        <f t="shared" ref="I19:L19" si="27">I5*AVERAGE($G$19/$G$5,$F$19/$F$5,$E$19/$E$5,$D$19/$D$5)</f>
        <v>3136.0861471438398</v>
      </c>
      <c r="J19" s="80">
        <f t="shared" si="27"/>
        <v>3386.9730389153469</v>
      </c>
      <c r="K19" s="80">
        <f t="shared" si="27"/>
        <v>3607.126286444844</v>
      </c>
      <c r="L19" s="81">
        <f t="shared" si="27"/>
        <v>3787.4826007670863</v>
      </c>
    </row>
    <row r="20" spans="2:12" x14ac:dyDescent="0.3">
      <c r="B20" s="9" t="s">
        <v>75</v>
      </c>
      <c r="C20" s="87">
        <v>107</v>
      </c>
      <c r="D20" s="88">
        <v>-48</v>
      </c>
      <c r="E20" s="88">
        <v>237</v>
      </c>
      <c r="F20" s="88">
        <v>1034</v>
      </c>
      <c r="G20" s="88">
        <v>9022</v>
      </c>
      <c r="H20" s="70">
        <f>H5*AVERAGE($F$20/$F$5,$E$20/$E$5,$D$20/$D$5,$C$20/$C$5)</f>
        <v>831.94971294408515</v>
      </c>
      <c r="I20" s="70">
        <f t="shared" ref="I20:L20" si="28">I5*AVERAGE($F$20/$F$5,$E$20/$E$5,$D$20/$D$5,$C$20/$C$5)</f>
        <v>906.82518710905288</v>
      </c>
      <c r="J20" s="70">
        <f t="shared" si="28"/>
        <v>979.37120207777707</v>
      </c>
      <c r="K20" s="70">
        <f t="shared" si="28"/>
        <v>1043.0303302128325</v>
      </c>
      <c r="L20" s="83">
        <f t="shared" si="28"/>
        <v>1095.1818467234741</v>
      </c>
    </row>
    <row r="21" spans="2:12" x14ac:dyDescent="0.3">
      <c r="B21" s="11" t="s">
        <v>72</v>
      </c>
      <c r="C21" s="90">
        <f>C16+C18+C19+C20</f>
        <v>8767</v>
      </c>
      <c r="D21" s="80">
        <f t="shared" ref="D21:G21" si="29">D16+D18+D19+D20</f>
        <v>2627</v>
      </c>
      <c r="E21" s="80">
        <f t="shared" si="29"/>
        <v>32310</v>
      </c>
      <c r="F21" s="80">
        <f t="shared" si="29"/>
        <v>82162</v>
      </c>
      <c r="G21" s="80">
        <f t="shared" si="29"/>
        <v>138607</v>
      </c>
      <c r="H21" s="80">
        <f t="shared" ref="H21" si="30">H16+H18+H19+H20</f>
        <v>151016.45696720449</v>
      </c>
      <c r="I21" s="80">
        <f t="shared" ref="I21" si="31">I16+I18+I19+I20</f>
        <v>161406.56600425293</v>
      </c>
      <c r="J21" s="80">
        <f t="shared" ref="J21" si="32">J16+J18+J19+J20</f>
        <v>171913.27785299314</v>
      </c>
      <c r="K21" s="80">
        <f t="shared" ref="K21" si="33">K16+K18+K19+K20</f>
        <v>181192.10911817764</v>
      </c>
      <c r="L21" s="81">
        <f t="shared" ref="L21" si="34">L16+L18+L19+L20</f>
        <v>188693.74182302339</v>
      </c>
    </row>
    <row r="22" spans="2:12" x14ac:dyDescent="0.3">
      <c r="B22" s="9" t="s">
        <v>73</v>
      </c>
      <c r="C22" s="87">
        <v>189</v>
      </c>
      <c r="D22" s="88">
        <v>-187</v>
      </c>
      <c r="E22" s="88">
        <v>4058</v>
      </c>
      <c r="F22" s="88">
        <v>11146</v>
      </c>
      <c r="G22" s="88">
        <v>21383</v>
      </c>
      <c r="H22" s="70">
        <f>H21*Assumptions!$C$17</f>
        <v>37754.114241801122</v>
      </c>
      <c r="I22" s="70">
        <f>I21*Assumptions!$C$17</f>
        <v>40351.641501063234</v>
      </c>
      <c r="J22" s="70">
        <f>J21*Assumptions!$C$17</f>
        <v>42978.319463248285</v>
      </c>
      <c r="K22" s="70">
        <f>K21*Assumptions!$C$17</f>
        <v>45298.027279544411</v>
      </c>
      <c r="L22" s="83">
        <f>L21*Assumptions!$C$17</f>
        <v>47173.435455755847</v>
      </c>
    </row>
    <row r="23" spans="2:12" x14ac:dyDescent="0.3">
      <c r="B23" s="98" t="s">
        <v>74</v>
      </c>
      <c r="C23" s="75">
        <f>C21-C22</f>
        <v>8578</v>
      </c>
      <c r="D23" s="75">
        <f t="shared" ref="D23:G23" si="35">D21-D22</f>
        <v>2814</v>
      </c>
      <c r="E23" s="75">
        <f t="shared" si="35"/>
        <v>28252</v>
      </c>
      <c r="F23" s="75">
        <f t="shared" si="35"/>
        <v>71016</v>
      </c>
      <c r="G23" s="75">
        <f t="shared" si="35"/>
        <v>117224</v>
      </c>
      <c r="H23" s="75">
        <f t="shared" ref="H23" si="36">H21-H22</f>
        <v>113262.34272540337</v>
      </c>
      <c r="I23" s="75">
        <f t="shared" ref="I23" si="37">I21-I22</f>
        <v>121054.9245031897</v>
      </c>
      <c r="J23" s="75">
        <f t="shared" ref="J23" si="38">J21-J22</f>
        <v>128934.95838974486</v>
      </c>
      <c r="K23" s="75">
        <f t="shared" ref="K23" si="39">K21-K22</f>
        <v>135894.08183863322</v>
      </c>
      <c r="L23" s="76">
        <f t="shared" ref="L23" si="40">L21-L22</f>
        <v>141520.30636726753</v>
      </c>
    </row>
    <row r="24" spans="2:12" x14ac:dyDescent="0.3">
      <c r="B24" s="20" t="s">
        <v>191</v>
      </c>
      <c r="C24" s="44">
        <f>C23/C5</f>
        <v>0.31871888236605483</v>
      </c>
      <c r="D24" s="44">
        <f t="shared" ref="D24:L24" si="41">D23/D5</f>
        <v>0.10432268110031882</v>
      </c>
      <c r="E24" s="44">
        <f t="shared" si="41"/>
        <v>0.46374052066576932</v>
      </c>
      <c r="F24" s="44">
        <f t="shared" si="41"/>
        <v>0.54419641830846688</v>
      </c>
      <c r="G24" s="44">
        <f t="shared" si="41"/>
        <v>0.54285952449314157</v>
      </c>
      <c r="H24" s="44">
        <f t="shared" si="41"/>
        <v>0.47683022957517002</v>
      </c>
      <c r="I24" s="44">
        <f t="shared" si="41"/>
        <v>0.46755661248049402</v>
      </c>
      <c r="J24" s="44">
        <f t="shared" si="41"/>
        <v>0.46110376804418068</v>
      </c>
      <c r="K24" s="44">
        <f t="shared" si="41"/>
        <v>0.4563298966409482</v>
      </c>
      <c r="L24" s="99">
        <f t="shared" si="41"/>
        <v>0.45259300761446214</v>
      </c>
    </row>
    <row r="26" spans="2:12" x14ac:dyDescent="0.3">
      <c r="B26" s="182" t="s">
        <v>255</v>
      </c>
      <c r="C26" s="183"/>
      <c r="D26" s="183"/>
      <c r="E26" s="183"/>
      <c r="F26" s="183"/>
      <c r="G26" s="183"/>
      <c r="H26" s="183"/>
      <c r="I26" s="183"/>
      <c r="J26" s="183"/>
      <c r="K26" s="183"/>
      <c r="L26" s="184"/>
    </row>
    <row r="27" spans="2:12" x14ac:dyDescent="0.3">
      <c r="B27" s="185"/>
      <c r="C27" s="186"/>
      <c r="D27" s="186"/>
      <c r="E27" s="186"/>
      <c r="F27" s="186"/>
      <c r="G27" s="186"/>
      <c r="H27" s="186"/>
      <c r="I27" s="186"/>
      <c r="J27" s="186"/>
      <c r="K27" s="186"/>
      <c r="L27" s="187"/>
    </row>
    <row r="28" spans="2:12" x14ac:dyDescent="0.3">
      <c r="B28" s="185"/>
      <c r="C28" s="186"/>
      <c r="D28" s="186"/>
      <c r="E28" s="186"/>
      <c r="F28" s="186"/>
      <c r="G28" s="186"/>
      <c r="H28" s="186"/>
      <c r="I28" s="186"/>
      <c r="J28" s="186"/>
      <c r="K28" s="186"/>
      <c r="L28" s="187"/>
    </row>
    <row r="29" spans="2:12" x14ac:dyDescent="0.3">
      <c r="B29" s="185"/>
      <c r="C29" s="186"/>
      <c r="D29" s="186"/>
      <c r="E29" s="186"/>
      <c r="F29" s="186"/>
      <c r="G29" s="186"/>
      <c r="H29" s="186"/>
      <c r="I29" s="186"/>
      <c r="J29" s="186"/>
      <c r="K29" s="186"/>
      <c r="L29" s="187"/>
    </row>
    <row r="30" spans="2:12" x14ac:dyDescent="0.3">
      <c r="B30" s="188"/>
      <c r="C30" s="189"/>
      <c r="D30" s="189"/>
      <c r="E30" s="189"/>
      <c r="F30" s="189"/>
      <c r="G30" s="189"/>
      <c r="H30" s="189"/>
      <c r="I30" s="189"/>
      <c r="J30" s="189"/>
      <c r="K30" s="189"/>
      <c r="L30" s="190"/>
    </row>
  </sheetData>
  <mergeCells count="3">
    <mergeCell ref="C3:G3"/>
    <mergeCell ref="H3:L3"/>
    <mergeCell ref="B26:L30"/>
  </mergeCells>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AB02C-E2FC-4ACF-941E-D047F4378D24}">
  <dimension ref="A2:L34"/>
  <sheetViews>
    <sheetView topLeftCell="A26" workbookViewId="0">
      <selection activeCell="M5" sqref="M5"/>
    </sheetView>
  </sheetViews>
  <sheetFormatPr defaultRowHeight="14.4" x14ac:dyDescent="0.3"/>
  <cols>
    <col min="1" max="1" width="10.77734375" style="1" customWidth="1"/>
    <col min="2" max="2" width="32" style="1" customWidth="1"/>
    <col min="3" max="7" width="10" style="1" customWidth="1"/>
    <col min="8" max="12" width="9.88671875" style="1" customWidth="1"/>
    <col min="13" max="16384" width="8.88671875" style="1"/>
  </cols>
  <sheetData>
    <row r="2" spans="1:12" x14ac:dyDescent="0.3">
      <c r="C2" s="179" t="s">
        <v>104</v>
      </c>
      <c r="D2" s="180"/>
      <c r="E2" s="180"/>
      <c r="F2" s="180"/>
      <c r="G2" s="181"/>
      <c r="H2" s="179" t="s">
        <v>105</v>
      </c>
      <c r="I2" s="180"/>
      <c r="J2" s="180"/>
      <c r="K2" s="180"/>
      <c r="L2" s="181"/>
    </row>
    <row r="3" spans="1:12" x14ac:dyDescent="0.3">
      <c r="B3" s="5" t="s">
        <v>43</v>
      </c>
      <c r="C3" s="5" t="s">
        <v>44</v>
      </c>
      <c r="D3" s="71" t="s">
        <v>45</v>
      </c>
      <c r="E3" s="71" t="s">
        <v>46</v>
      </c>
      <c r="F3" s="71" t="s">
        <v>47</v>
      </c>
      <c r="G3" s="71" t="s">
        <v>52</v>
      </c>
      <c r="H3" s="71" t="s">
        <v>60</v>
      </c>
      <c r="I3" s="71" t="s">
        <v>61</v>
      </c>
      <c r="J3" s="71" t="s">
        <v>62</v>
      </c>
      <c r="K3" s="71" t="s">
        <v>63</v>
      </c>
      <c r="L3" s="72" t="s">
        <v>64</v>
      </c>
    </row>
    <row r="4" spans="1:12" x14ac:dyDescent="0.3">
      <c r="B4" s="213" t="s">
        <v>83</v>
      </c>
      <c r="C4" s="214"/>
      <c r="D4" s="214"/>
      <c r="E4" s="214"/>
      <c r="F4" s="214"/>
      <c r="G4" s="214"/>
      <c r="H4" s="214"/>
      <c r="I4" s="214"/>
      <c r="J4" s="214"/>
      <c r="K4" s="214"/>
      <c r="L4" s="215"/>
    </row>
    <row r="5" spans="1:12" x14ac:dyDescent="0.3">
      <c r="A5" s="216" t="s">
        <v>90</v>
      </c>
      <c r="B5" s="9" t="s">
        <v>78</v>
      </c>
      <c r="C5" s="87">
        <v>1990</v>
      </c>
      <c r="D5" s="88">
        <v>3389</v>
      </c>
      <c r="E5" s="88">
        <v>7280</v>
      </c>
      <c r="F5" s="88">
        <v>8589</v>
      </c>
      <c r="G5" s="88">
        <v>10605</v>
      </c>
      <c r="H5" s="70">
        <f>'Balance Sheet'!$G5+'Cash Flow Statement'!H20</f>
        <v>107856.92438028092</v>
      </c>
      <c r="I5" s="70">
        <f>'Balance Sheet'!$H5+'Cash Flow Statement'!I20</f>
        <v>213421.12687043782</v>
      </c>
      <c r="J5" s="70">
        <f>'Balance Sheet'!$I5+'Cash Flow Statement'!J20</f>
        <v>328528.29280263878</v>
      </c>
      <c r="K5" s="70">
        <f>'Balance Sheet'!$J5+'Cash Flow Statement'!K20</f>
        <v>452433.52446311072</v>
      </c>
      <c r="L5" s="83">
        <f>'Balance Sheet'!$K5+'Cash Flow Statement'!L20</f>
        <v>583842.51319574413</v>
      </c>
    </row>
    <row r="6" spans="1:12" x14ac:dyDescent="0.3">
      <c r="A6" s="217"/>
      <c r="B6" s="11" t="s">
        <v>143</v>
      </c>
      <c r="C6" s="78">
        <v>19218</v>
      </c>
      <c r="D6" s="79">
        <v>9907</v>
      </c>
      <c r="E6" s="79">
        <v>18704</v>
      </c>
      <c r="F6" s="79">
        <v>34621</v>
      </c>
      <c r="G6" s="79">
        <v>51951</v>
      </c>
      <c r="H6" s="80">
        <f>'Balance Sheet'!$G6</f>
        <v>51951</v>
      </c>
      <c r="I6" s="80">
        <f>'Balance Sheet'!$H6</f>
        <v>51951</v>
      </c>
      <c r="J6" s="80">
        <f>'Balance Sheet'!$I6</f>
        <v>51951</v>
      </c>
      <c r="K6" s="80">
        <f>'Balance Sheet'!$J6</f>
        <v>51951</v>
      </c>
      <c r="L6" s="81">
        <f>'Balance Sheet'!$K6</f>
        <v>51951</v>
      </c>
    </row>
    <row r="7" spans="1:12" x14ac:dyDescent="0.3">
      <c r="A7" s="217"/>
      <c r="B7" s="9" t="s">
        <v>79</v>
      </c>
      <c r="C7" s="87">
        <v>4650</v>
      </c>
      <c r="D7" s="88">
        <v>3827</v>
      </c>
      <c r="E7" s="88">
        <v>9999</v>
      </c>
      <c r="F7" s="88">
        <v>23065</v>
      </c>
      <c r="G7" s="88">
        <v>38466</v>
      </c>
      <c r="H7" s="70">
        <f>'Working Capital Schedule'!H5</f>
        <v>42300.183561643833</v>
      </c>
      <c r="I7" s="70">
        <f>'Working Capital Schedule'!I5</f>
        <v>46107.200082191783</v>
      </c>
      <c r="J7" s="70">
        <f>'Working Capital Schedule'!J5</f>
        <v>49795.776088767125</v>
      </c>
      <c r="K7" s="70">
        <f>'Working Capital Schedule'!K5</f>
        <v>53032.501534536983</v>
      </c>
      <c r="L7" s="83">
        <f>'Working Capital Schedule'!L5</f>
        <v>55684.12661126384</v>
      </c>
    </row>
    <row r="8" spans="1:12" x14ac:dyDescent="0.3">
      <c r="A8" s="217"/>
      <c r="B8" s="11" t="s">
        <v>80</v>
      </c>
      <c r="C8" s="78">
        <v>2605</v>
      </c>
      <c r="D8" s="79">
        <v>5159</v>
      </c>
      <c r="E8" s="79">
        <v>5282</v>
      </c>
      <c r="F8" s="79">
        <v>10080</v>
      </c>
      <c r="G8" s="79">
        <v>21403</v>
      </c>
      <c r="H8" s="80">
        <f>'Working Capital Schedule'!H6</f>
        <v>20336.626712328769</v>
      </c>
      <c r="I8" s="80">
        <f>'Working Capital Schedule'!I6</f>
        <v>22166.92311643836</v>
      </c>
      <c r="J8" s="80">
        <f>'Working Capital Schedule'!J6</f>
        <v>23940.276965753426</v>
      </c>
      <c r="K8" s="80">
        <f>'Working Capital Schedule'!K6</f>
        <v>25496.394968527395</v>
      </c>
      <c r="L8" s="81">
        <f>'Working Capital Schedule'!L6</f>
        <v>26771.214716953767</v>
      </c>
    </row>
    <row r="9" spans="1:12" x14ac:dyDescent="0.3">
      <c r="A9" s="217"/>
      <c r="B9" s="9" t="s">
        <v>81</v>
      </c>
      <c r="C9" s="87">
        <v>366</v>
      </c>
      <c r="D9" s="88">
        <v>791</v>
      </c>
      <c r="E9" s="88">
        <v>3080</v>
      </c>
      <c r="F9" s="88">
        <v>3771</v>
      </c>
      <c r="G9" s="88">
        <v>3180</v>
      </c>
      <c r="H9" s="70">
        <f>'Income Statement'!H5*Assumptions!$C$42</f>
        <v>6513.2891655693975</v>
      </c>
      <c r="I9" s="70">
        <f>'Income Statement'!I5*Assumptions!$C$42</f>
        <v>7099.4851904706438</v>
      </c>
      <c r="J9" s="70">
        <f>'Income Statement'!J5*Assumptions!$C$42</f>
        <v>7667.4440057082948</v>
      </c>
      <c r="K9" s="70">
        <f>'Income Statement'!K5*Assumptions!$C$42</f>
        <v>8165.827866079333</v>
      </c>
      <c r="L9" s="83">
        <f>'Income Statement'!L5*Assumptions!$C$42</f>
        <v>8574.1192593833002</v>
      </c>
    </row>
    <row r="10" spans="1:12" x14ac:dyDescent="0.3">
      <c r="A10" s="218"/>
      <c r="B10" s="11" t="s">
        <v>82</v>
      </c>
      <c r="C10" s="90">
        <f>C5+C6+C7+C8+C9</f>
        <v>28829</v>
      </c>
      <c r="D10" s="80">
        <f t="shared" ref="D10:F10" si="0">D5+D6+D7+D8+D9</f>
        <v>23073</v>
      </c>
      <c r="E10" s="80">
        <f t="shared" si="0"/>
        <v>44345</v>
      </c>
      <c r="F10" s="80">
        <f t="shared" si="0"/>
        <v>80126</v>
      </c>
      <c r="G10" s="80">
        <f>G5+G6+G7+G8+G9</f>
        <v>125605</v>
      </c>
      <c r="H10" s="80">
        <f t="shared" ref="H10:L10" si="1">H5+H6+H7+H8+H9</f>
        <v>228958.02381982293</v>
      </c>
      <c r="I10" s="80">
        <f t="shared" si="1"/>
        <v>340745.73525953863</v>
      </c>
      <c r="J10" s="80">
        <f t="shared" si="1"/>
        <v>461882.78986286756</v>
      </c>
      <c r="K10" s="80">
        <f t="shared" si="1"/>
        <v>591079.24883225432</v>
      </c>
      <c r="L10" s="81">
        <f t="shared" si="1"/>
        <v>726822.97378334508</v>
      </c>
    </row>
    <row r="11" spans="1:12" x14ac:dyDescent="0.3">
      <c r="A11" s="216" t="s">
        <v>84</v>
      </c>
      <c r="B11" s="9" t="s">
        <v>85</v>
      </c>
      <c r="C11" s="87">
        <v>2778</v>
      </c>
      <c r="D11" s="88">
        <v>3807</v>
      </c>
      <c r="E11" s="88">
        <v>3914</v>
      </c>
      <c r="F11" s="88">
        <v>6283</v>
      </c>
      <c r="G11" s="88">
        <v>10383</v>
      </c>
      <c r="H11" s="70">
        <f>'PP&amp;E Schedule'!H8</f>
        <v>23019.157000000003</v>
      </c>
      <c r="I11" s="70">
        <f>'PP&amp;E Schedule'!I8</f>
        <v>33633.112640000007</v>
      </c>
      <c r="J11" s="70">
        <f>'PP&amp;E Schedule'!J8</f>
        <v>42727.630499600011</v>
      </c>
      <c r="K11" s="70">
        <f>'PP&amp;E Schedule'!K8</f>
        <v>50548.033324814009</v>
      </c>
      <c r="L11" s="83">
        <f>'PP&amp;E Schedule'!L8</f>
        <v>57224.770540225531</v>
      </c>
    </row>
    <row r="12" spans="1:12" x14ac:dyDescent="0.3">
      <c r="A12" s="217"/>
      <c r="B12" s="11" t="s">
        <v>144</v>
      </c>
      <c r="C12" s="78">
        <v>829</v>
      </c>
      <c r="D12" s="79">
        <v>1038</v>
      </c>
      <c r="E12" s="79">
        <v>1346</v>
      </c>
      <c r="F12" s="79">
        <v>1793</v>
      </c>
      <c r="G12" s="79">
        <v>2867</v>
      </c>
      <c r="H12" s="80">
        <f>'Balance Sheet'!$G12</f>
        <v>2867</v>
      </c>
      <c r="I12" s="80">
        <f>'Balance Sheet'!$H12</f>
        <v>2867</v>
      </c>
      <c r="J12" s="80">
        <f>'Balance Sheet'!$I12</f>
        <v>2867</v>
      </c>
      <c r="K12" s="80">
        <f>'Balance Sheet'!$J12</f>
        <v>2867</v>
      </c>
      <c r="L12" s="81">
        <f>'Balance Sheet'!$K12</f>
        <v>2867</v>
      </c>
    </row>
    <row r="13" spans="1:12" x14ac:dyDescent="0.3">
      <c r="A13" s="217"/>
      <c r="B13" s="9" t="s">
        <v>86</v>
      </c>
      <c r="C13" s="87">
        <v>2339</v>
      </c>
      <c r="D13" s="88">
        <v>1676</v>
      </c>
      <c r="E13" s="88">
        <v>1112</v>
      </c>
      <c r="F13" s="88">
        <v>807</v>
      </c>
      <c r="G13" s="88">
        <v>3306</v>
      </c>
      <c r="H13" s="70">
        <f>'Balance Sheet'!$G13</f>
        <v>3306</v>
      </c>
      <c r="I13" s="70">
        <f>'Balance Sheet'!$H13</f>
        <v>3306</v>
      </c>
      <c r="J13" s="70">
        <f>'Balance Sheet'!$I13</f>
        <v>3306</v>
      </c>
      <c r="K13" s="70">
        <f>'Balance Sheet'!$J13</f>
        <v>3306</v>
      </c>
      <c r="L13" s="83">
        <f>'Balance Sheet'!$K13</f>
        <v>3306</v>
      </c>
    </row>
    <row r="14" spans="1:12" x14ac:dyDescent="0.3">
      <c r="A14" s="217"/>
      <c r="B14" s="11" t="s">
        <v>87</v>
      </c>
      <c r="C14" s="78">
        <v>4349</v>
      </c>
      <c r="D14" s="79">
        <v>4372</v>
      </c>
      <c r="E14" s="79">
        <v>4430</v>
      </c>
      <c r="F14" s="79">
        <v>5188</v>
      </c>
      <c r="G14" s="79">
        <v>20832</v>
      </c>
      <c r="H14" s="80">
        <f>'Balance Sheet'!$G14</f>
        <v>20832</v>
      </c>
      <c r="I14" s="80">
        <f>'Balance Sheet'!$H14</f>
        <v>20832</v>
      </c>
      <c r="J14" s="80">
        <f>'Balance Sheet'!$I14</f>
        <v>20832</v>
      </c>
      <c r="K14" s="80">
        <f>'Balance Sheet'!$J14</f>
        <v>20832</v>
      </c>
      <c r="L14" s="81">
        <f>'Balance Sheet'!$K14</f>
        <v>20832</v>
      </c>
    </row>
    <row r="15" spans="1:12" x14ac:dyDescent="0.3">
      <c r="A15" s="217"/>
      <c r="B15" s="9" t="s">
        <v>145</v>
      </c>
      <c r="C15" s="87">
        <v>1222</v>
      </c>
      <c r="D15" s="88">
        <v>3396</v>
      </c>
      <c r="E15" s="88">
        <v>6081</v>
      </c>
      <c r="F15" s="88">
        <v>10979</v>
      </c>
      <c r="G15" s="88">
        <v>13258</v>
      </c>
      <c r="H15" s="70">
        <f>'Balance Sheet'!$G15</f>
        <v>13258</v>
      </c>
      <c r="I15" s="70">
        <f>'Balance Sheet'!$H15</f>
        <v>13258</v>
      </c>
      <c r="J15" s="70">
        <f>'Balance Sheet'!$I15</f>
        <v>13258</v>
      </c>
      <c r="K15" s="70">
        <f>'Balance Sheet'!$J15</f>
        <v>13258</v>
      </c>
      <c r="L15" s="83">
        <f>'Balance Sheet'!$K15</f>
        <v>13258</v>
      </c>
    </row>
    <row r="16" spans="1:12" x14ac:dyDescent="0.3">
      <c r="A16" s="217"/>
      <c r="B16" s="11" t="s">
        <v>147</v>
      </c>
      <c r="C16" s="78">
        <v>0</v>
      </c>
      <c r="D16" s="79">
        <v>0</v>
      </c>
      <c r="E16" s="79">
        <v>0</v>
      </c>
      <c r="F16" s="79">
        <v>3387</v>
      </c>
      <c r="G16" s="79">
        <v>22251</v>
      </c>
      <c r="H16" s="80">
        <f>'Balance Sheet'!$G16</f>
        <v>22251</v>
      </c>
      <c r="I16" s="80">
        <f>'Balance Sheet'!$H16</f>
        <v>22251</v>
      </c>
      <c r="J16" s="80">
        <f>'Balance Sheet'!$I16</f>
        <v>22251</v>
      </c>
      <c r="K16" s="80">
        <f>'Balance Sheet'!$J16</f>
        <v>22251</v>
      </c>
      <c r="L16" s="81">
        <f>'Balance Sheet'!$K16</f>
        <v>22251</v>
      </c>
    </row>
    <row r="17" spans="1:12" x14ac:dyDescent="0.3">
      <c r="A17" s="217"/>
      <c r="B17" s="9" t="s">
        <v>146</v>
      </c>
      <c r="C17" s="87">
        <v>3841</v>
      </c>
      <c r="D17" s="88">
        <v>3820</v>
      </c>
      <c r="E17" s="88">
        <v>4500</v>
      </c>
      <c r="F17" s="88">
        <v>3038</v>
      </c>
      <c r="G17" s="88">
        <v>8301</v>
      </c>
      <c r="H17" s="70">
        <f>'Income Statement'!H5*Assumptions!$C$44</f>
        <v>19948.796766588301</v>
      </c>
      <c r="I17" s="70">
        <f>'Income Statement'!I5*Assumptions!$C$44</f>
        <v>21744.18847558125</v>
      </c>
      <c r="J17" s="70">
        <f>'Income Statement'!J5*Assumptions!$C$44</f>
        <v>23483.723553627751</v>
      </c>
      <c r="K17" s="70">
        <f>'Income Statement'!K5*Assumptions!$C$44</f>
        <v>25010.165584613551</v>
      </c>
      <c r="L17" s="83">
        <f>'Income Statement'!L5*Assumptions!$C$44</f>
        <v>26260.673863844229</v>
      </c>
    </row>
    <row r="18" spans="1:12" x14ac:dyDescent="0.3">
      <c r="A18" s="218"/>
      <c r="B18" s="7" t="s">
        <v>88</v>
      </c>
      <c r="C18" s="100">
        <f>C10+C11+C12+C13+C14+C15+C16+C17</f>
        <v>44187</v>
      </c>
      <c r="D18" s="75">
        <f t="shared" ref="D18:G18" si="2">D10+D11+D12+D13+D14+D15+D16+D17</f>
        <v>41182</v>
      </c>
      <c r="E18" s="75">
        <f t="shared" si="2"/>
        <v>65728</v>
      </c>
      <c r="F18" s="75">
        <f t="shared" si="2"/>
        <v>111601</v>
      </c>
      <c r="G18" s="75">
        <f t="shared" si="2"/>
        <v>206803</v>
      </c>
      <c r="H18" s="75">
        <f>H10+H11+H12+H13+H14+H15+H16+H17</f>
        <v>334439.97758641123</v>
      </c>
      <c r="I18" s="75">
        <f t="shared" ref="I18" si="3">I10+I11+I12+I13+I14+I15+I16+I17</f>
        <v>458637.03637511987</v>
      </c>
      <c r="J18" s="75">
        <f t="shared" ref="J18" si="4">J10+J11+J12+J13+J14+J15+J16+J17</f>
        <v>590608.14391609537</v>
      </c>
      <c r="K18" s="75">
        <f t="shared" ref="K18" si="5">K10+K11+K12+K13+K14+K15+K16+K17</f>
        <v>729151.44774168194</v>
      </c>
      <c r="L18" s="76">
        <f t="shared" ref="L18" si="6">L10+L11+L12+L13+L14+L15+L16+L17</f>
        <v>872822.41818741488</v>
      </c>
    </row>
    <row r="19" spans="1:12" x14ac:dyDescent="0.3">
      <c r="B19" s="213" t="s">
        <v>89</v>
      </c>
      <c r="C19" s="214"/>
      <c r="D19" s="214"/>
      <c r="E19" s="214"/>
      <c r="F19" s="214"/>
      <c r="G19" s="214"/>
      <c r="H19" s="214"/>
      <c r="I19" s="214"/>
      <c r="J19" s="214"/>
      <c r="K19" s="214"/>
      <c r="L19" s="215"/>
    </row>
    <row r="20" spans="1:12" x14ac:dyDescent="0.3">
      <c r="A20" s="219" t="s">
        <v>91</v>
      </c>
      <c r="B20" s="11" t="s">
        <v>92</v>
      </c>
      <c r="C20" s="78">
        <v>1783</v>
      </c>
      <c r="D20" s="79">
        <v>1193</v>
      </c>
      <c r="E20" s="79">
        <v>2699</v>
      </c>
      <c r="F20" s="79">
        <v>6310</v>
      </c>
      <c r="G20" s="79">
        <v>9812</v>
      </c>
      <c r="H20" s="80">
        <f>'Working Capital Schedule'!H7</f>
        <v>9273.5017808219181</v>
      </c>
      <c r="I20" s="80">
        <f>'Working Capital Schedule'!I7</f>
        <v>10108.116941095892</v>
      </c>
      <c r="J20" s="80">
        <f>'Working Capital Schedule'!J7</f>
        <v>10916.766296383563</v>
      </c>
      <c r="K20" s="80">
        <f>'Working Capital Schedule'!K7</f>
        <v>11626.356105648492</v>
      </c>
      <c r="L20" s="81">
        <f>'Working Capital Schedule'!L7</f>
        <v>12207.673910930918</v>
      </c>
    </row>
    <row r="21" spans="1:12" x14ac:dyDescent="0.3">
      <c r="A21" s="220"/>
      <c r="B21" s="9" t="s">
        <v>93</v>
      </c>
      <c r="C21" s="87">
        <v>2552</v>
      </c>
      <c r="D21" s="88">
        <v>4120</v>
      </c>
      <c r="E21" s="88">
        <v>6682</v>
      </c>
      <c r="F21" s="88">
        <v>11737</v>
      </c>
      <c r="G21" s="88">
        <v>21352</v>
      </c>
      <c r="H21" s="70">
        <f>'Income Statement'!H5*Assumptions!$C$43</f>
        <v>25941.439120352308</v>
      </c>
      <c r="I21" s="70">
        <f>'Income Statement'!I5*Assumptions!$C$43</f>
        <v>28276.16864118402</v>
      </c>
      <c r="J21" s="70">
        <f>'Income Statement'!J5*Assumptions!$C$43</f>
        <v>30538.26213247874</v>
      </c>
      <c r="K21" s="70">
        <f>'Income Statement'!K5*Assumptions!$C$43</f>
        <v>32523.249171089854</v>
      </c>
      <c r="L21" s="83">
        <f>'Income Statement'!L5*Assumptions!$C$43</f>
        <v>34149.411629644354</v>
      </c>
    </row>
    <row r="22" spans="1:12" x14ac:dyDescent="0.3">
      <c r="A22" s="220"/>
      <c r="B22" s="11" t="s">
        <v>94</v>
      </c>
      <c r="C22" s="78">
        <v>0</v>
      </c>
      <c r="D22" s="79">
        <v>1250</v>
      </c>
      <c r="E22" s="79">
        <v>1250</v>
      </c>
      <c r="F22" s="79">
        <v>0</v>
      </c>
      <c r="G22" s="79">
        <v>999</v>
      </c>
      <c r="H22" s="80">
        <f>'Balance Sheet'!$G22</f>
        <v>999</v>
      </c>
      <c r="I22" s="80">
        <f>'Balance Sheet'!$H22</f>
        <v>999</v>
      </c>
      <c r="J22" s="80">
        <f>'Balance Sheet'!$I22</f>
        <v>999</v>
      </c>
      <c r="K22" s="80">
        <f>'Balance Sheet'!$J22</f>
        <v>999</v>
      </c>
      <c r="L22" s="81">
        <f>'Balance Sheet'!$K22</f>
        <v>999</v>
      </c>
    </row>
    <row r="23" spans="1:12" x14ac:dyDescent="0.3">
      <c r="A23" s="221"/>
      <c r="B23" s="9" t="s">
        <v>95</v>
      </c>
      <c r="C23" s="82">
        <f>C20+C21+C22</f>
        <v>4335</v>
      </c>
      <c r="D23" s="70">
        <f t="shared" ref="D23:L23" si="7">D20+D21+D22</f>
        <v>6563</v>
      </c>
      <c r="E23" s="70">
        <f t="shared" si="7"/>
        <v>10631</v>
      </c>
      <c r="F23" s="70">
        <f t="shared" si="7"/>
        <v>18047</v>
      </c>
      <c r="G23" s="70">
        <f t="shared" si="7"/>
        <v>32163</v>
      </c>
      <c r="H23" s="70">
        <f t="shared" si="7"/>
        <v>36213.940901174225</v>
      </c>
      <c r="I23" s="70">
        <f t="shared" si="7"/>
        <v>39383.28558227991</v>
      </c>
      <c r="J23" s="70">
        <f t="shared" si="7"/>
        <v>42454.028428862301</v>
      </c>
      <c r="K23" s="70">
        <f t="shared" si="7"/>
        <v>45148.605276738344</v>
      </c>
      <c r="L23" s="83">
        <f t="shared" si="7"/>
        <v>47356.085540575274</v>
      </c>
    </row>
    <row r="24" spans="1:12" x14ac:dyDescent="0.3">
      <c r="A24" s="222" t="s">
        <v>96</v>
      </c>
      <c r="B24" s="11" t="s">
        <v>97</v>
      </c>
      <c r="C24" s="78">
        <v>10946</v>
      </c>
      <c r="D24" s="79">
        <v>9703</v>
      </c>
      <c r="E24" s="79">
        <v>8459</v>
      </c>
      <c r="F24" s="79">
        <v>8463</v>
      </c>
      <c r="G24" s="79">
        <v>7469</v>
      </c>
      <c r="H24" s="80">
        <f>'Balance Sheet'!$G24</f>
        <v>7469</v>
      </c>
      <c r="I24" s="80">
        <f>'Balance Sheet'!$H24</f>
        <v>7469</v>
      </c>
      <c r="J24" s="80">
        <f>'Balance Sheet'!$I24</f>
        <v>7469</v>
      </c>
      <c r="K24" s="80">
        <f>'Balance Sheet'!$J24</f>
        <v>7469</v>
      </c>
      <c r="L24" s="81">
        <f>'Balance Sheet'!$K24</f>
        <v>7469</v>
      </c>
    </row>
    <row r="25" spans="1:12" x14ac:dyDescent="0.3">
      <c r="A25" s="223"/>
      <c r="B25" s="9" t="s">
        <v>98</v>
      </c>
      <c r="C25" s="87">
        <v>2294</v>
      </c>
      <c r="D25" s="88">
        <v>2815</v>
      </c>
      <c r="E25" s="88">
        <v>3660</v>
      </c>
      <c r="F25" s="88">
        <v>5764</v>
      </c>
      <c r="G25" s="88">
        <v>9878</v>
      </c>
      <c r="H25" s="70">
        <f>'Balance Sheet'!$G25</f>
        <v>9878</v>
      </c>
      <c r="I25" s="70">
        <f>'Balance Sheet'!$H25</f>
        <v>9878</v>
      </c>
      <c r="J25" s="70">
        <f>'Balance Sheet'!$I25</f>
        <v>9878</v>
      </c>
      <c r="K25" s="70">
        <f>'Balance Sheet'!$J25</f>
        <v>9878</v>
      </c>
      <c r="L25" s="83">
        <f>'Balance Sheet'!$K25</f>
        <v>9878</v>
      </c>
    </row>
    <row r="26" spans="1:12" x14ac:dyDescent="0.3">
      <c r="A26" s="224"/>
      <c r="B26" s="7" t="s">
        <v>99</v>
      </c>
      <c r="C26" s="100">
        <f>C23+C24+C25</f>
        <v>17575</v>
      </c>
      <c r="D26" s="75">
        <f t="shared" ref="D26:L26" si="8">D23+D24+D25</f>
        <v>19081</v>
      </c>
      <c r="E26" s="75">
        <f t="shared" si="8"/>
        <v>22750</v>
      </c>
      <c r="F26" s="75">
        <f t="shared" si="8"/>
        <v>32274</v>
      </c>
      <c r="G26" s="75">
        <f t="shared" si="8"/>
        <v>49510</v>
      </c>
      <c r="H26" s="75">
        <f t="shared" si="8"/>
        <v>53560.940901174225</v>
      </c>
      <c r="I26" s="75">
        <f t="shared" si="8"/>
        <v>56730.28558227991</v>
      </c>
      <c r="J26" s="75">
        <f t="shared" si="8"/>
        <v>59801.028428862301</v>
      </c>
      <c r="K26" s="75">
        <f t="shared" si="8"/>
        <v>62495.605276738344</v>
      </c>
      <c r="L26" s="76">
        <f t="shared" si="8"/>
        <v>64703.085540575274</v>
      </c>
    </row>
    <row r="27" spans="1:12" x14ac:dyDescent="0.3">
      <c r="B27" s="213" t="s">
        <v>100</v>
      </c>
      <c r="C27" s="214"/>
      <c r="D27" s="214"/>
      <c r="E27" s="214"/>
      <c r="F27" s="214"/>
      <c r="G27" s="214"/>
      <c r="H27" s="214"/>
      <c r="I27" s="214"/>
      <c r="J27" s="214"/>
      <c r="K27" s="214"/>
      <c r="L27" s="215"/>
    </row>
    <row r="28" spans="1:12" x14ac:dyDescent="0.3">
      <c r="B28" s="7" t="s">
        <v>101</v>
      </c>
      <c r="C28" s="78">
        <v>3</v>
      </c>
      <c r="D28" s="79">
        <v>2</v>
      </c>
      <c r="E28" s="79">
        <v>2</v>
      </c>
      <c r="F28" s="79">
        <v>24</v>
      </c>
      <c r="G28" s="79">
        <v>24</v>
      </c>
      <c r="H28" s="80">
        <f>'Balance Sheet'!$G28</f>
        <v>24</v>
      </c>
      <c r="I28" s="80">
        <f>'Balance Sheet'!$H28</f>
        <v>24</v>
      </c>
      <c r="J28" s="80">
        <f>'Balance Sheet'!$I28</f>
        <v>24</v>
      </c>
      <c r="K28" s="80">
        <f>'Balance Sheet'!$J28</f>
        <v>24</v>
      </c>
      <c r="L28" s="81">
        <f>'Balance Sheet'!$K28</f>
        <v>24</v>
      </c>
    </row>
    <row r="29" spans="1:12" x14ac:dyDescent="0.3">
      <c r="B29" s="9" t="s">
        <v>148</v>
      </c>
      <c r="C29" s="87">
        <v>10385</v>
      </c>
      <c r="D29" s="88">
        <v>11971</v>
      </c>
      <c r="E29" s="88">
        <v>13132</v>
      </c>
      <c r="F29" s="88">
        <v>11237</v>
      </c>
      <c r="G29" s="88">
        <v>10118</v>
      </c>
      <c r="H29" s="70">
        <f>'Balance Sheet'!$G29</f>
        <v>10118</v>
      </c>
      <c r="I29" s="70">
        <f>'Balance Sheet'!$H29</f>
        <v>10118</v>
      </c>
      <c r="J29" s="70">
        <f>'Balance Sheet'!$I29</f>
        <v>10118</v>
      </c>
      <c r="K29" s="70">
        <f>'Balance Sheet'!$J29</f>
        <v>10118</v>
      </c>
      <c r="L29" s="83">
        <f>'Balance Sheet'!$K29</f>
        <v>10118</v>
      </c>
    </row>
    <row r="30" spans="1:12" x14ac:dyDescent="0.3">
      <c r="B30" s="11" t="s">
        <v>149</v>
      </c>
      <c r="C30" s="78">
        <v>-11</v>
      </c>
      <c r="D30" s="79">
        <v>-43</v>
      </c>
      <c r="E30" s="79">
        <v>27</v>
      </c>
      <c r="F30" s="79">
        <v>28</v>
      </c>
      <c r="G30" s="79">
        <v>178</v>
      </c>
      <c r="H30" s="80">
        <f>'Balance Sheet'!$G30</f>
        <v>178</v>
      </c>
      <c r="I30" s="80">
        <f>'Balance Sheet'!$H30</f>
        <v>178</v>
      </c>
      <c r="J30" s="80">
        <f>'Balance Sheet'!$I30</f>
        <v>178</v>
      </c>
      <c r="K30" s="80">
        <f>'Balance Sheet'!$J30</f>
        <v>178</v>
      </c>
      <c r="L30" s="81">
        <f>'Balance Sheet'!$K30</f>
        <v>178</v>
      </c>
    </row>
    <row r="31" spans="1:12" x14ac:dyDescent="0.3">
      <c r="B31" s="9" t="s">
        <v>102</v>
      </c>
      <c r="C31" s="87">
        <v>16235</v>
      </c>
      <c r="D31" s="88">
        <v>10171</v>
      </c>
      <c r="E31" s="88">
        <v>29817</v>
      </c>
      <c r="F31" s="88">
        <v>68038</v>
      </c>
      <c r="G31" s="88">
        <v>146973</v>
      </c>
      <c r="H31" s="70">
        <f>'Balance Sheet'!$G31+'Income Statement'!H23</f>
        <v>260235.34272540337</v>
      </c>
      <c r="I31" s="70">
        <f>'Balance Sheet'!$H31+'Income Statement'!I23</f>
        <v>381290.26722859306</v>
      </c>
      <c r="J31" s="70">
        <f>'Balance Sheet'!$I31+'Income Statement'!J23</f>
        <v>510225.22561833792</v>
      </c>
      <c r="K31" s="70">
        <f>'Balance Sheet'!$J31+'Income Statement'!K23</f>
        <v>646119.30745697115</v>
      </c>
      <c r="L31" s="83">
        <f>'Balance Sheet'!$K31+'Income Statement'!L23</f>
        <v>787639.61382423865</v>
      </c>
    </row>
    <row r="32" spans="1:12" x14ac:dyDescent="0.3">
      <c r="B32" s="101" t="s">
        <v>103</v>
      </c>
      <c r="C32" s="102">
        <f>C28+C29+C30+C31</f>
        <v>26612</v>
      </c>
      <c r="D32" s="103">
        <f t="shared" ref="D32:G32" si="9">D28+D29+D30+D31</f>
        <v>22101</v>
      </c>
      <c r="E32" s="103">
        <f t="shared" si="9"/>
        <v>42978</v>
      </c>
      <c r="F32" s="103">
        <f t="shared" si="9"/>
        <v>79327</v>
      </c>
      <c r="G32" s="103">
        <f t="shared" si="9"/>
        <v>157293</v>
      </c>
      <c r="H32" s="103">
        <f>SUM(H28:H31)</f>
        <v>270555.34272540337</v>
      </c>
      <c r="I32" s="103">
        <f t="shared" ref="I32:L32" si="10">SUM(I28:I31)</f>
        <v>391610.26722859306</v>
      </c>
      <c r="J32" s="103">
        <f t="shared" si="10"/>
        <v>520545.22561833792</v>
      </c>
      <c r="K32" s="103">
        <f t="shared" si="10"/>
        <v>656439.30745697115</v>
      </c>
      <c r="L32" s="104">
        <f t="shared" si="10"/>
        <v>797959.61382423865</v>
      </c>
    </row>
    <row r="34" spans="2:12" x14ac:dyDescent="0.3">
      <c r="B34" s="105" t="s">
        <v>185</v>
      </c>
      <c r="C34" s="70">
        <f>ROUND(C18-(C26+C32),2)</f>
        <v>0</v>
      </c>
      <c r="D34" s="70">
        <f t="shared" ref="D34:L34" si="11">ROUND(D18-(D26+D32),2)</f>
        <v>0</v>
      </c>
      <c r="E34" s="70">
        <f t="shared" si="11"/>
        <v>0</v>
      </c>
      <c r="F34" s="70">
        <f t="shared" si="11"/>
        <v>0</v>
      </c>
      <c r="G34" s="70">
        <f t="shared" si="11"/>
        <v>0</v>
      </c>
      <c r="H34" s="70">
        <f t="shared" si="11"/>
        <v>10323.69</v>
      </c>
      <c r="I34" s="70">
        <f t="shared" si="11"/>
        <v>10296.48</v>
      </c>
      <c r="J34" s="70">
        <f t="shared" si="11"/>
        <v>10261.89</v>
      </c>
      <c r="K34" s="70">
        <f t="shared" si="11"/>
        <v>10216.540000000001</v>
      </c>
      <c r="L34" s="70">
        <f t="shared" si="11"/>
        <v>10159.719999999999</v>
      </c>
    </row>
  </sheetData>
  <mergeCells count="9">
    <mergeCell ref="H2:L2"/>
    <mergeCell ref="B27:L27"/>
    <mergeCell ref="B19:L19"/>
    <mergeCell ref="B4:L4"/>
    <mergeCell ref="A5:A10"/>
    <mergeCell ref="A11:A18"/>
    <mergeCell ref="A20:A23"/>
    <mergeCell ref="A24:A26"/>
    <mergeCell ref="C2:G2"/>
  </mergeCells>
  <conditionalFormatting sqref="C34:L34">
    <cfRule type="cellIs" dxfId="2" priority="1" operator="lessThan">
      <formula>0</formula>
    </cfRule>
    <cfRule type="cellIs" dxfId="1" priority="2" operator="greaterThan">
      <formula>0</formula>
    </cfRule>
    <cfRule type="cellIs" dxfId="0" priority="3" operator="equal">
      <formula>0</formula>
    </cfRule>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4FE0-5453-4F6A-AE67-F0050FFAD478}">
  <dimension ref="B2:L20"/>
  <sheetViews>
    <sheetView zoomScale="32" workbookViewId="0">
      <selection activeCell="N2" sqref="N2"/>
    </sheetView>
  </sheetViews>
  <sheetFormatPr defaultRowHeight="14.4" x14ac:dyDescent="0.3"/>
  <cols>
    <col min="1" max="1" width="8.88671875" style="1"/>
    <col min="2" max="2" width="23.44140625" style="1" customWidth="1"/>
    <col min="3" max="7" width="10" style="1" customWidth="1"/>
    <col min="8" max="12" width="9.88671875" style="1" customWidth="1"/>
    <col min="13" max="16384" width="8.88671875" style="1"/>
  </cols>
  <sheetData>
    <row r="2" spans="2:12" x14ac:dyDescent="0.3">
      <c r="C2" s="179" t="s">
        <v>104</v>
      </c>
      <c r="D2" s="180"/>
      <c r="E2" s="180"/>
      <c r="F2" s="180"/>
      <c r="G2" s="181"/>
      <c r="H2" s="179" t="s">
        <v>105</v>
      </c>
      <c r="I2" s="180"/>
      <c r="J2" s="180"/>
      <c r="K2" s="180"/>
      <c r="L2" s="181"/>
    </row>
    <row r="3" spans="2:12" x14ac:dyDescent="0.3">
      <c r="B3" s="5" t="s">
        <v>43</v>
      </c>
      <c r="C3" s="5" t="s">
        <v>44</v>
      </c>
      <c r="D3" s="71" t="s">
        <v>45</v>
      </c>
      <c r="E3" s="71" t="s">
        <v>46</v>
      </c>
      <c r="F3" s="71" t="s">
        <v>47</v>
      </c>
      <c r="G3" s="71" t="s">
        <v>52</v>
      </c>
      <c r="H3" s="71" t="s">
        <v>60</v>
      </c>
      <c r="I3" s="71" t="s">
        <v>61</v>
      </c>
      <c r="J3" s="71" t="s">
        <v>62</v>
      </c>
      <c r="K3" s="71" t="s">
        <v>63</v>
      </c>
      <c r="L3" s="72" t="s">
        <v>64</v>
      </c>
    </row>
    <row r="4" spans="2:12" x14ac:dyDescent="0.3">
      <c r="B4" s="213" t="s">
        <v>106</v>
      </c>
      <c r="C4" s="214"/>
      <c r="D4" s="214"/>
      <c r="E4" s="214"/>
      <c r="F4" s="214"/>
      <c r="G4" s="214"/>
      <c r="H4" s="214"/>
      <c r="I4" s="214"/>
      <c r="J4" s="214"/>
      <c r="K4" s="214"/>
      <c r="L4" s="215"/>
    </row>
    <row r="5" spans="2:12" x14ac:dyDescent="0.3">
      <c r="B5" s="9" t="s">
        <v>74</v>
      </c>
      <c r="C5" s="82">
        <f>'Income Statement'!C23</f>
        <v>8578</v>
      </c>
      <c r="D5" s="70">
        <f>'Income Statement'!D23</f>
        <v>2814</v>
      </c>
      <c r="E5" s="70">
        <f>'Income Statement'!E23</f>
        <v>28252</v>
      </c>
      <c r="F5" s="70">
        <f>'Income Statement'!F23</f>
        <v>71016</v>
      </c>
      <c r="G5" s="70">
        <f>'Income Statement'!G23</f>
        <v>117224</v>
      </c>
      <c r="H5" s="70">
        <f>'Income Statement'!H23</f>
        <v>113262.34272540337</v>
      </c>
      <c r="I5" s="70">
        <f>'Income Statement'!I23</f>
        <v>121054.9245031897</v>
      </c>
      <c r="J5" s="70">
        <f>'Income Statement'!J23</f>
        <v>128934.95838974486</v>
      </c>
      <c r="K5" s="70">
        <f>'Income Statement'!K23</f>
        <v>135894.08183863322</v>
      </c>
      <c r="L5" s="83">
        <f>'Income Statement'!L23</f>
        <v>141520.30636726753</v>
      </c>
    </row>
    <row r="6" spans="2:12" x14ac:dyDescent="0.3">
      <c r="B6" s="11" t="s">
        <v>68</v>
      </c>
      <c r="C6" s="90">
        <f>'Income Statement'!C15</f>
        <v>1174</v>
      </c>
      <c r="D6" s="80">
        <f>'Income Statement'!D15</f>
        <v>1554</v>
      </c>
      <c r="E6" s="80">
        <f>'Income Statement'!E15</f>
        <v>1508</v>
      </c>
      <c r="F6" s="80">
        <f>'Income Statement'!F15</f>
        <v>1864</v>
      </c>
      <c r="G6" s="80">
        <f>'Income Statement'!G15</f>
        <v>2843</v>
      </c>
      <c r="H6" s="80">
        <f>'Income Statement'!H15</f>
        <v>2803.4100000000003</v>
      </c>
      <c r="I6" s="80">
        <f>'Income Statement'!I15</f>
        <v>6215.1723900000015</v>
      </c>
      <c r="J6" s="80">
        <f>'Income Statement'!J15</f>
        <v>9080.9404128000024</v>
      </c>
      <c r="K6" s="80">
        <f>'Income Statement'!K15</f>
        <v>11536.460234892003</v>
      </c>
      <c r="L6" s="81">
        <f>'Income Statement'!L15</f>
        <v>13647.968997699783</v>
      </c>
    </row>
    <row r="7" spans="2:12" x14ac:dyDescent="0.3">
      <c r="B7" s="9" t="s">
        <v>107</v>
      </c>
      <c r="C7" s="87">
        <v>-3276</v>
      </c>
      <c r="D7" s="70">
        <f>-('Balance Sheet'!$D7-'Balance Sheet'!$C7)-('Balance Sheet'!D8-'Balance Sheet'!C8)-('Balance Sheet'!D9-'Balance Sheet'!C9)+('Balance Sheet'!D20-'Balance Sheet'!C20)+('Balance Sheet'!D21-'Balance Sheet'!C21)</f>
        <v>-1178</v>
      </c>
      <c r="E7" s="70">
        <f>-('Balance Sheet'!$E7-'Balance Sheet'!$D7)-('Balance Sheet'!E8-'Balance Sheet'!D8)-('Balance Sheet'!E9-'Balance Sheet'!D9)+('Balance Sheet'!E20-'Balance Sheet'!D20)+('Balance Sheet'!E21-'Balance Sheet'!D21)</f>
        <v>-4516</v>
      </c>
      <c r="F7" s="70">
        <f>-('Balance Sheet'!$F7-'Balance Sheet'!$E7)-('Balance Sheet'!F8-'Balance Sheet'!E8)-('Balance Sheet'!F9-'Balance Sheet'!E9)+('Balance Sheet'!F20-'Balance Sheet'!E20)+('Balance Sheet'!F21-'Balance Sheet'!E21)</f>
        <v>-9889</v>
      </c>
      <c r="G7" s="70">
        <f>-('Balance Sheet'!$G7-'Balance Sheet'!$F7)-('Balance Sheet'!G8-'Balance Sheet'!F8)-('Balance Sheet'!G9-'Balance Sheet'!F9)+('Balance Sheet'!G20-'Balance Sheet'!F20)+('Balance Sheet'!G21-'Balance Sheet'!F21)</f>
        <v>-13016</v>
      </c>
      <c r="H7" s="70">
        <f>-'Working Capital Schedule'!H9</f>
        <v>-3306.3084931506819</v>
      </c>
      <c r="I7" s="70">
        <f>-'Working Capital Schedule'!I9</f>
        <v>-4802.6977643835708</v>
      </c>
      <c r="J7" s="70">
        <f>-'Working Capital Schedule'!J9</f>
        <v>-4653.2805006027411</v>
      </c>
      <c r="K7" s="70">
        <f>-'Working Capital Schedule'!K9</f>
        <v>-4083.2536392788898</v>
      </c>
      <c r="L7" s="83">
        <f>-'Working Capital Schedule'!L9</f>
        <v>-3345.127019870808</v>
      </c>
    </row>
    <row r="8" spans="2:12" x14ac:dyDescent="0.3">
      <c r="B8" s="11" t="s">
        <v>108</v>
      </c>
      <c r="C8" s="11">
        <v>-30</v>
      </c>
      <c r="D8" s="105">
        <v>-32</v>
      </c>
      <c r="E8" s="105">
        <v>70</v>
      </c>
      <c r="F8" s="105">
        <v>1</v>
      </c>
      <c r="G8" s="105">
        <v>150</v>
      </c>
      <c r="H8" s="105">
        <f>'Income Statement'!H5*Assumptions!$C$45</f>
        <v>-67.952851971771096</v>
      </c>
      <c r="I8" s="105">
        <f>'Income Statement'!I5*Assumptions!$C$45</f>
        <v>-74.068608649230498</v>
      </c>
      <c r="J8" s="105">
        <f>'Income Statement'!J5*Assumptions!$C$45</f>
        <v>-79.994097341168938</v>
      </c>
      <c r="K8" s="105">
        <f>'Income Statement'!K5*Assumptions!$C$45</f>
        <v>-85.193713668344898</v>
      </c>
      <c r="L8" s="106">
        <f>'Income Statement'!L5*Assumptions!$C$45</f>
        <v>-89.453399351762158</v>
      </c>
    </row>
    <row r="9" spans="2:12" x14ac:dyDescent="0.3">
      <c r="B9" s="9" t="s">
        <v>109</v>
      </c>
      <c r="C9" s="107">
        <f>SUM(C5:C8)</f>
        <v>6446</v>
      </c>
      <c r="D9" s="108">
        <f t="shared" ref="D9:L9" si="0">SUM(D5:D8)</f>
        <v>3158</v>
      </c>
      <c r="E9" s="108">
        <f t="shared" si="0"/>
        <v>25314</v>
      </c>
      <c r="F9" s="108">
        <f t="shared" si="0"/>
        <v>62992</v>
      </c>
      <c r="G9" s="108">
        <f t="shared" si="0"/>
        <v>107201</v>
      </c>
      <c r="H9" s="108">
        <f t="shared" si="0"/>
        <v>112691.49138028092</v>
      </c>
      <c r="I9" s="108">
        <f t="shared" si="0"/>
        <v>122393.3305201569</v>
      </c>
      <c r="J9" s="108">
        <f t="shared" si="0"/>
        <v>133282.62420460096</v>
      </c>
      <c r="K9" s="108">
        <f t="shared" si="0"/>
        <v>143262.09472057797</v>
      </c>
      <c r="L9" s="109">
        <f t="shared" si="0"/>
        <v>151733.69494574473</v>
      </c>
    </row>
    <row r="10" spans="2:12" x14ac:dyDescent="0.3">
      <c r="B10" s="213" t="s">
        <v>110</v>
      </c>
      <c r="C10" s="214"/>
      <c r="D10" s="214"/>
      <c r="E10" s="214"/>
      <c r="F10" s="214"/>
      <c r="G10" s="214"/>
      <c r="H10" s="214"/>
      <c r="I10" s="214"/>
      <c r="J10" s="214"/>
      <c r="K10" s="214"/>
      <c r="L10" s="215"/>
    </row>
    <row r="11" spans="2:12" x14ac:dyDescent="0.3">
      <c r="B11" s="9" t="s">
        <v>111</v>
      </c>
      <c r="C11" s="87">
        <v>-976</v>
      </c>
      <c r="D11" s="88">
        <v>-1833</v>
      </c>
      <c r="E11" s="88">
        <v>-1069</v>
      </c>
      <c r="F11" s="88">
        <v>-3236</v>
      </c>
      <c r="G11" s="88">
        <v>-6042</v>
      </c>
      <c r="H11" s="70">
        <f>-'PP&amp;E Schedule'!H6</f>
        <v>-15439.567000000001</v>
      </c>
      <c r="I11" s="70">
        <f>-'PP&amp;E Schedule'!I6</f>
        <v>-16829.128030000003</v>
      </c>
      <c r="J11" s="70">
        <f>-'PP&amp;E Schedule'!J6</f>
        <v>-18175.458272400003</v>
      </c>
      <c r="K11" s="70">
        <f>-'PP&amp;E Schedule'!K6</f>
        <v>-19356.863060105999</v>
      </c>
      <c r="L11" s="83">
        <f>-'PP&amp;E Schedule'!L6</f>
        <v>-20324.706213111302</v>
      </c>
    </row>
    <row r="12" spans="2:12" x14ac:dyDescent="0.3">
      <c r="B12" s="11" t="s">
        <v>112</v>
      </c>
      <c r="C12" s="110">
        <v>-263</v>
      </c>
      <c r="D12" s="93">
        <v>-49</v>
      </c>
      <c r="E12" s="93">
        <v>-83</v>
      </c>
      <c r="F12" s="79">
        <v>-1007</v>
      </c>
      <c r="G12" s="79">
        <v>-1535</v>
      </c>
      <c r="H12" s="105">
        <f>0</f>
        <v>0</v>
      </c>
      <c r="I12" s="105">
        <f>0</f>
        <v>0</v>
      </c>
      <c r="J12" s="105">
        <f>0</f>
        <v>0</v>
      </c>
      <c r="K12" s="105">
        <f>0</f>
        <v>0</v>
      </c>
      <c r="L12" s="106">
        <f>0</f>
        <v>0</v>
      </c>
    </row>
    <row r="13" spans="2:12" x14ac:dyDescent="0.3">
      <c r="B13" s="9" t="s">
        <v>113</v>
      </c>
      <c r="C13" s="87">
        <v>9311</v>
      </c>
      <c r="D13" s="88">
        <f>-('Balance Sheet'!D6-'Balance Sheet'!C6)-('Balance Sheet'!D16-'Balance Sheet'!C16)</f>
        <v>9311</v>
      </c>
      <c r="E13" s="88">
        <f>-('Balance Sheet'!E6-'Balance Sheet'!D6)-('Balance Sheet'!E16-'Balance Sheet'!D16)</f>
        <v>-8797</v>
      </c>
      <c r="F13" s="88">
        <f>-('Balance Sheet'!F6-'Balance Sheet'!E6)-('Balance Sheet'!F16-'Balance Sheet'!E16)</f>
        <v>-19304</v>
      </c>
      <c r="G13" s="88">
        <f>-('Balance Sheet'!G6-'Balance Sheet'!F6)-('Balance Sheet'!G16-'Balance Sheet'!F16)</f>
        <v>-36194</v>
      </c>
      <c r="H13" s="70">
        <f>0</f>
        <v>0</v>
      </c>
      <c r="I13" s="70">
        <f>0</f>
        <v>0</v>
      </c>
      <c r="J13" s="70">
        <f>0</f>
        <v>0</v>
      </c>
      <c r="K13" s="70">
        <f>0</f>
        <v>0</v>
      </c>
      <c r="L13" s="83">
        <f>0</f>
        <v>0</v>
      </c>
    </row>
    <row r="14" spans="2:12" x14ac:dyDescent="0.3">
      <c r="B14" s="11" t="s">
        <v>114</v>
      </c>
      <c r="C14" s="100">
        <f>SUM(C11:C13)</f>
        <v>8072</v>
      </c>
      <c r="D14" s="75">
        <f t="shared" ref="D14:L14" si="1">SUM(D11:D13)</f>
        <v>7429</v>
      </c>
      <c r="E14" s="75">
        <f t="shared" si="1"/>
        <v>-9949</v>
      </c>
      <c r="F14" s="75">
        <f t="shared" si="1"/>
        <v>-23547</v>
      </c>
      <c r="G14" s="75">
        <f t="shared" si="1"/>
        <v>-43771</v>
      </c>
      <c r="H14" s="75">
        <f t="shared" si="1"/>
        <v>-15439.567000000001</v>
      </c>
      <c r="I14" s="75">
        <f t="shared" si="1"/>
        <v>-16829.128030000003</v>
      </c>
      <c r="J14" s="75">
        <f t="shared" si="1"/>
        <v>-18175.458272400003</v>
      </c>
      <c r="K14" s="75">
        <f t="shared" si="1"/>
        <v>-19356.863060105999</v>
      </c>
      <c r="L14" s="76">
        <f t="shared" si="1"/>
        <v>-20324.706213111302</v>
      </c>
    </row>
    <row r="15" spans="2:12" x14ac:dyDescent="0.3">
      <c r="B15" s="213" t="s">
        <v>115</v>
      </c>
      <c r="C15" s="214"/>
      <c r="D15" s="214"/>
      <c r="E15" s="214"/>
      <c r="F15" s="214"/>
      <c r="G15" s="214"/>
      <c r="H15" s="214"/>
      <c r="I15" s="214"/>
      <c r="J15" s="214"/>
      <c r="K15" s="214"/>
      <c r="L15" s="215"/>
    </row>
    <row r="16" spans="2:12" x14ac:dyDescent="0.3">
      <c r="B16" s="11" t="s">
        <v>116</v>
      </c>
      <c r="C16" s="90">
        <v>-1000</v>
      </c>
      <c r="D16" s="105">
        <v>0</v>
      </c>
      <c r="E16" s="80">
        <v>-1250</v>
      </c>
      <c r="F16" s="80">
        <v>-1250</v>
      </c>
      <c r="G16" s="105">
        <v>0</v>
      </c>
      <c r="H16" s="105">
        <f>('Balance Sheet'!H24-'Balance Sheet'!G24)+('Balance Sheet'!H22-'Balance Sheet'!G22)</f>
        <v>0</v>
      </c>
      <c r="I16" s="105">
        <f>('Balance Sheet'!I24-'Balance Sheet'!H24)+('Balance Sheet'!I22-'Balance Sheet'!H22)</f>
        <v>0</v>
      </c>
      <c r="J16" s="105">
        <f>('Balance Sheet'!J24-'Balance Sheet'!I24)+('Balance Sheet'!J22-'Balance Sheet'!I22)</f>
        <v>0</v>
      </c>
      <c r="K16" s="105">
        <f>('Balance Sheet'!K24-'Balance Sheet'!J24)+('Balance Sheet'!K22-'Balance Sheet'!J22)</f>
        <v>0</v>
      </c>
      <c r="L16" s="106">
        <f>('Balance Sheet'!L24-'Balance Sheet'!K24)+('Balance Sheet'!L22-'Balance Sheet'!K22)</f>
        <v>0</v>
      </c>
    </row>
    <row r="17" spans="2:12" x14ac:dyDescent="0.3">
      <c r="B17" s="9" t="s">
        <v>117</v>
      </c>
      <c r="C17" s="96">
        <v>281</v>
      </c>
      <c r="D17" s="88">
        <v>-9684</v>
      </c>
      <c r="E17" s="88">
        <v>-9130</v>
      </c>
      <c r="F17" s="88">
        <v>-33216</v>
      </c>
      <c r="G17" s="88">
        <v>-39442</v>
      </c>
      <c r="H17" s="1">
        <v>0</v>
      </c>
      <c r="I17" s="1">
        <v>0</v>
      </c>
      <c r="J17" s="1">
        <v>0</v>
      </c>
      <c r="K17" s="1">
        <v>0</v>
      </c>
      <c r="L17" s="111">
        <v>0</v>
      </c>
    </row>
    <row r="18" spans="2:12" x14ac:dyDescent="0.3">
      <c r="B18" s="11" t="s">
        <v>118</v>
      </c>
      <c r="C18" s="110">
        <v>-399</v>
      </c>
      <c r="D18" s="93">
        <v>-398</v>
      </c>
      <c r="E18" s="93">
        <v>-395</v>
      </c>
      <c r="F18" s="93">
        <v>-834</v>
      </c>
      <c r="G18" s="93">
        <v>-974</v>
      </c>
      <c r="H18" s="105">
        <f>0</f>
        <v>0</v>
      </c>
      <c r="I18" s="105">
        <f>0</f>
        <v>0</v>
      </c>
      <c r="J18" s="105">
        <f>0</f>
        <v>0</v>
      </c>
      <c r="K18" s="105">
        <f>0</f>
        <v>0</v>
      </c>
      <c r="L18" s="106">
        <f>0</f>
        <v>0</v>
      </c>
    </row>
    <row r="19" spans="2:12" x14ac:dyDescent="0.3">
      <c r="B19" s="9" t="s">
        <v>119</v>
      </c>
      <c r="C19" s="82">
        <f>SUM(C16:C18)</f>
        <v>-1118</v>
      </c>
      <c r="D19" s="70">
        <f t="shared" ref="D19:L19" si="2">SUM(D16:D18)</f>
        <v>-10082</v>
      </c>
      <c r="E19" s="70">
        <f t="shared" si="2"/>
        <v>-10775</v>
      </c>
      <c r="F19" s="70">
        <f t="shared" si="2"/>
        <v>-35300</v>
      </c>
      <c r="G19" s="70">
        <f t="shared" si="2"/>
        <v>-40416</v>
      </c>
      <c r="H19" s="70">
        <f t="shared" si="2"/>
        <v>0</v>
      </c>
      <c r="I19" s="70">
        <f t="shared" si="2"/>
        <v>0</v>
      </c>
      <c r="J19" s="70">
        <f t="shared" si="2"/>
        <v>0</v>
      </c>
      <c r="K19" s="70">
        <f t="shared" si="2"/>
        <v>0</v>
      </c>
      <c r="L19" s="83">
        <f t="shared" si="2"/>
        <v>0</v>
      </c>
    </row>
    <row r="20" spans="2:12" x14ac:dyDescent="0.3">
      <c r="B20" s="112" t="s">
        <v>120</v>
      </c>
      <c r="C20" s="113">
        <f>C9+C14+C19</f>
        <v>13400</v>
      </c>
      <c r="D20" s="114">
        <f t="shared" ref="D20:L20" si="3">D9+D14+D19</f>
        <v>505</v>
      </c>
      <c r="E20" s="114">
        <f t="shared" si="3"/>
        <v>4590</v>
      </c>
      <c r="F20" s="114">
        <f t="shared" si="3"/>
        <v>4145</v>
      </c>
      <c r="G20" s="114">
        <f t="shared" si="3"/>
        <v>23014</v>
      </c>
      <c r="H20" s="114">
        <f t="shared" si="3"/>
        <v>97251.924380280921</v>
      </c>
      <c r="I20" s="114">
        <f t="shared" si="3"/>
        <v>105564.20249015689</v>
      </c>
      <c r="J20" s="114">
        <f t="shared" si="3"/>
        <v>115107.16593220095</v>
      </c>
      <c r="K20" s="114">
        <f t="shared" si="3"/>
        <v>123905.23166047197</v>
      </c>
      <c r="L20" s="115">
        <f t="shared" si="3"/>
        <v>131408.98873263344</v>
      </c>
    </row>
  </sheetData>
  <mergeCells count="5">
    <mergeCell ref="B4:L4"/>
    <mergeCell ref="B10:L10"/>
    <mergeCell ref="B15:L15"/>
    <mergeCell ref="C2:G2"/>
    <mergeCell ref="H2:L2"/>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6332-65BD-47D3-BEBB-5572A3C6C347}">
  <dimension ref="B3:L17"/>
  <sheetViews>
    <sheetView topLeftCell="K1" zoomScale="66" workbookViewId="0">
      <selection activeCell="N20" sqref="N20"/>
    </sheetView>
  </sheetViews>
  <sheetFormatPr defaultRowHeight="14.4" x14ac:dyDescent="0.3"/>
  <cols>
    <col min="1" max="1" width="8.88671875" style="1"/>
    <col min="2" max="2" width="16.88671875" style="1" customWidth="1"/>
    <col min="3" max="7" width="10" style="1" customWidth="1"/>
    <col min="8" max="12" width="9.77734375" style="1" customWidth="1"/>
    <col min="13" max="17" width="9.88671875" style="1" customWidth="1"/>
    <col min="18" max="16384" width="8.88671875" style="1"/>
  </cols>
  <sheetData>
    <row r="3" spans="2:12" x14ac:dyDescent="0.3">
      <c r="C3" s="179" t="s">
        <v>104</v>
      </c>
      <c r="D3" s="180"/>
      <c r="E3" s="180"/>
      <c r="F3" s="180"/>
      <c r="G3" s="181"/>
      <c r="H3" s="179" t="s">
        <v>105</v>
      </c>
      <c r="I3" s="180"/>
      <c r="J3" s="180"/>
      <c r="K3" s="180"/>
      <c r="L3" s="181"/>
    </row>
    <row r="4" spans="2:12" x14ac:dyDescent="0.3">
      <c r="B4" s="116" t="s">
        <v>43</v>
      </c>
      <c r="C4" s="117" t="s">
        <v>44</v>
      </c>
      <c r="D4" s="117" t="s">
        <v>45</v>
      </c>
      <c r="E4" s="117" t="s">
        <v>46</v>
      </c>
      <c r="F4" s="117" t="s">
        <v>47</v>
      </c>
      <c r="G4" s="117" t="s">
        <v>52</v>
      </c>
      <c r="H4" s="118" t="s">
        <v>60</v>
      </c>
      <c r="I4" s="118" t="s">
        <v>61</v>
      </c>
      <c r="J4" s="118" t="s">
        <v>62</v>
      </c>
      <c r="K4" s="118" t="s">
        <v>63</v>
      </c>
      <c r="L4" s="118" t="s">
        <v>64</v>
      </c>
    </row>
    <row r="5" spans="2:12" x14ac:dyDescent="0.3">
      <c r="B5" s="111" t="s">
        <v>121</v>
      </c>
      <c r="C5" s="70">
        <f>'Balance Sheet'!C7</f>
        <v>4650</v>
      </c>
      <c r="D5" s="70">
        <f>'Balance Sheet'!D7</f>
        <v>3827</v>
      </c>
      <c r="E5" s="70">
        <f>'Balance Sheet'!E7</f>
        <v>9999</v>
      </c>
      <c r="F5" s="70">
        <f>'Balance Sheet'!F7</f>
        <v>23065</v>
      </c>
      <c r="G5" s="70">
        <f>'Balance Sheet'!G7</f>
        <v>38466</v>
      </c>
      <c r="H5" s="70">
        <f>(Assumptions!$C$20/365)*'Income Statement'!H5</f>
        <v>42300.183561643833</v>
      </c>
      <c r="I5" s="70">
        <f>(Assumptions!$C$20/365)*'Income Statement'!I5</f>
        <v>46107.200082191783</v>
      </c>
      <c r="J5" s="70">
        <f>(Assumptions!$C$20/365)*'Income Statement'!J5</f>
        <v>49795.776088767125</v>
      </c>
      <c r="K5" s="70">
        <f>(Assumptions!$C$20/365)*'Income Statement'!K5</f>
        <v>53032.501534536983</v>
      </c>
      <c r="L5" s="70">
        <f>(Assumptions!$C$20/365)*'Income Statement'!L5</f>
        <v>55684.12661126384</v>
      </c>
    </row>
    <row r="6" spans="2:12" x14ac:dyDescent="0.3">
      <c r="B6" s="111" t="s">
        <v>80</v>
      </c>
      <c r="C6" s="70">
        <f>'Balance Sheet'!C8</f>
        <v>2605</v>
      </c>
      <c r="D6" s="70">
        <f>'Balance Sheet'!D8</f>
        <v>5159</v>
      </c>
      <c r="E6" s="70">
        <f>'Balance Sheet'!E8</f>
        <v>5282</v>
      </c>
      <c r="F6" s="70">
        <f>'Balance Sheet'!F8</f>
        <v>10080</v>
      </c>
      <c r="G6" s="70">
        <f>'Balance Sheet'!G8</f>
        <v>21403</v>
      </c>
      <c r="H6" s="70">
        <f>(Assumptions!$C$21/365)*'Income Statement'!H7</f>
        <v>20336.626712328769</v>
      </c>
      <c r="I6" s="70">
        <f>(Assumptions!$C$21/365)*'Income Statement'!I7</f>
        <v>22166.92311643836</v>
      </c>
      <c r="J6" s="70">
        <f>(Assumptions!$C$21/365)*'Income Statement'!J7</f>
        <v>23940.276965753426</v>
      </c>
      <c r="K6" s="70">
        <f>(Assumptions!$C$21/365)*'Income Statement'!K7</f>
        <v>25496.394968527395</v>
      </c>
      <c r="L6" s="70">
        <f>(Assumptions!$C$21/365)*'Income Statement'!L7</f>
        <v>26771.214716953767</v>
      </c>
    </row>
    <row r="7" spans="2:12" x14ac:dyDescent="0.3">
      <c r="B7" s="111" t="s">
        <v>122</v>
      </c>
      <c r="C7" s="1">
        <f>'Balance Sheet'!C20</f>
        <v>1783</v>
      </c>
      <c r="D7" s="1">
        <f>'Balance Sheet'!D20</f>
        <v>1193</v>
      </c>
      <c r="E7" s="1">
        <f>'Balance Sheet'!E20</f>
        <v>2699</v>
      </c>
      <c r="F7" s="1">
        <f>'Balance Sheet'!F20</f>
        <v>6310</v>
      </c>
      <c r="G7" s="1">
        <f>'Balance Sheet'!G20</f>
        <v>9812</v>
      </c>
      <c r="H7" s="70">
        <f>(Assumptions!$C$22/365)*'Income Statement'!H7</f>
        <v>9273.5017808219181</v>
      </c>
      <c r="I7" s="70">
        <f>(Assumptions!$C$22/365)*'Income Statement'!I7</f>
        <v>10108.116941095892</v>
      </c>
      <c r="J7" s="70">
        <f>(Assumptions!$C$22/365)*'Income Statement'!J7</f>
        <v>10916.766296383563</v>
      </c>
      <c r="K7" s="70">
        <f>(Assumptions!$C$22/365)*'Income Statement'!K7</f>
        <v>11626.356105648492</v>
      </c>
      <c r="L7" s="70">
        <f>(Assumptions!$C$22/365)*'Income Statement'!L7</f>
        <v>12207.673910930918</v>
      </c>
    </row>
    <row r="8" spans="2:12" x14ac:dyDescent="0.3">
      <c r="B8" s="111" t="s">
        <v>123</v>
      </c>
      <c r="C8" s="70">
        <f>C5+C6-C7</f>
        <v>5472</v>
      </c>
      <c r="D8" s="70">
        <f t="shared" ref="D8:L8" si="0">D5+D6-D7</f>
        <v>7793</v>
      </c>
      <c r="E8" s="70">
        <f t="shared" si="0"/>
        <v>12582</v>
      </c>
      <c r="F8" s="70">
        <f t="shared" si="0"/>
        <v>26835</v>
      </c>
      <c r="G8" s="70">
        <f t="shared" si="0"/>
        <v>50057</v>
      </c>
      <c r="H8" s="70">
        <f t="shared" si="0"/>
        <v>53363.308493150682</v>
      </c>
      <c r="I8" s="70">
        <f t="shared" si="0"/>
        <v>58166.006257534253</v>
      </c>
      <c r="J8" s="70">
        <f t="shared" si="0"/>
        <v>62819.286758136994</v>
      </c>
      <c r="K8" s="70">
        <f t="shared" si="0"/>
        <v>66902.540397415883</v>
      </c>
      <c r="L8" s="70">
        <f t="shared" si="0"/>
        <v>70247.667417286691</v>
      </c>
    </row>
    <row r="9" spans="2:12" x14ac:dyDescent="0.3">
      <c r="B9" s="111" t="s">
        <v>124</v>
      </c>
      <c r="C9" s="1" t="s">
        <v>59</v>
      </c>
      <c r="D9" s="1">
        <f t="shared" ref="D9" si="1">D8-C8</f>
        <v>2321</v>
      </c>
      <c r="E9" s="1">
        <f t="shared" ref="E9" si="2">E8-D8</f>
        <v>4789</v>
      </c>
      <c r="F9" s="1">
        <f t="shared" ref="F9" si="3">F8-E8</f>
        <v>14253</v>
      </c>
      <c r="G9" s="1">
        <f t="shared" ref="G9" si="4">G8-F8</f>
        <v>23222</v>
      </c>
      <c r="H9" s="70">
        <f t="shared" ref="H9" si="5">H8-G8</f>
        <v>3306.3084931506819</v>
      </c>
      <c r="I9" s="70">
        <f t="shared" ref="I9:L9" si="6">I8-H8</f>
        <v>4802.6977643835708</v>
      </c>
      <c r="J9" s="70">
        <f t="shared" si="6"/>
        <v>4653.2805006027411</v>
      </c>
      <c r="K9" s="70">
        <f t="shared" si="6"/>
        <v>4083.2536392788898</v>
      </c>
      <c r="L9" s="70">
        <f t="shared" si="6"/>
        <v>3345.127019870808</v>
      </c>
    </row>
    <row r="14" spans="2:12" x14ac:dyDescent="0.3">
      <c r="B14" s="5" t="s">
        <v>43</v>
      </c>
      <c r="C14" s="5" t="s">
        <v>44</v>
      </c>
      <c r="D14" s="71" t="s">
        <v>45</v>
      </c>
      <c r="E14" s="71" t="s">
        <v>46</v>
      </c>
      <c r="F14" s="71" t="s">
        <v>47</v>
      </c>
      <c r="G14" s="71" t="s">
        <v>52</v>
      </c>
      <c r="H14" s="71" t="s">
        <v>60</v>
      </c>
      <c r="I14" s="71" t="s">
        <v>61</v>
      </c>
      <c r="J14" s="71" t="s">
        <v>62</v>
      </c>
      <c r="K14" s="71" t="s">
        <v>63</v>
      </c>
      <c r="L14" s="72" t="s">
        <v>64</v>
      </c>
    </row>
    <row r="15" spans="2:12" x14ac:dyDescent="0.3">
      <c r="B15" s="98" t="s">
        <v>234</v>
      </c>
      <c r="C15" s="165">
        <f>'Balance Sheet'!C7/'Income Statement'!C5*365</f>
        <v>63.061975180203611</v>
      </c>
      <c r="D15" s="165">
        <f>'Balance Sheet'!D7/'Income Statement'!D5*365</f>
        <v>51.785237636242307</v>
      </c>
      <c r="E15" s="165">
        <f>'Balance Sheet'!E7/'Income Statement'!E5*365</f>
        <v>59.906683956534586</v>
      </c>
      <c r="F15" s="165">
        <f>'Balance Sheet'!F7/'Income Statement'!F5*365</f>
        <v>64.512785734537957</v>
      </c>
      <c r="G15" s="165">
        <f>'Balance Sheet'!G7/'Income Statement'!G5*365</f>
        <v>65.01907955061175</v>
      </c>
      <c r="H15" s="166">
        <f>Assumptions!$C$20</f>
        <v>65</v>
      </c>
      <c r="I15" s="166">
        <f>Assumptions!$C$20</f>
        <v>65</v>
      </c>
      <c r="J15" s="166">
        <f>Assumptions!$C$20</f>
        <v>65</v>
      </c>
      <c r="K15" s="166">
        <f>Assumptions!$C$20</f>
        <v>65</v>
      </c>
      <c r="L15" s="160">
        <f>Assumptions!$C$20</f>
        <v>65</v>
      </c>
    </row>
    <row r="16" spans="2:12" x14ac:dyDescent="0.3">
      <c r="B16" s="58" t="s">
        <v>235</v>
      </c>
      <c r="C16" s="1">
        <f>'Balance Sheet'!C8/'Income Statement'!C7*365</f>
        <v>100.73365822650703</v>
      </c>
      <c r="D16" s="1">
        <f>'Balance Sheet'!D8/'Income Statement'!D7*365</f>
        <v>162.079101394388</v>
      </c>
      <c r="E16" s="1">
        <f>'Balance Sheet'!E8/'Income Statement'!E7*365</f>
        <v>115.99362252572048</v>
      </c>
      <c r="F16" s="1">
        <f>'Balance Sheet'!F8/'Income Statement'!F7*365</f>
        <v>112.72404179049603</v>
      </c>
      <c r="G16" s="1">
        <f>'Balance Sheet'!G8/'Income Statement'!G7*365</f>
        <v>125.043537414966</v>
      </c>
      <c r="H16" s="1">
        <f>Assumptions!$C$21</f>
        <v>125</v>
      </c>
      <c r="I16" s="1">
        <f>Assumptions!$C$21</f>
        <v>125</v>
      </c>
      <c r="J16" s="1">
        <f>Assumptions!$C$21</f>
        <v>125</v>
      </c>
      <c r="K16" s="1">
        <f>Assumptions!$C$21</f>
        <v>125</v>
      </c>
      <c r="L16" s="111">
        <f>Assumptions!$C$21</f>
        <v>125</v>
      </c>
    </row>
    <row r="17" spans="2:12" x14ac:dyDescent="0.3">
      <c r="B17" s="169" t="s">
        <v>236</v>
      </c>
      <c r="C17" s="167">
        <f>'Balance Sheet'!C20/'Income Statement'!C7*365</f>
        <v>68.947452060599645</v>
      </c>
      <c r="D17" s="167">
        <f>'Balance Sheet'!D20/'Income Statement'!D7*365</f>
        <v>37.480203133069374</v>
      </c>
      <c r="E17" s="167">
        <f>'Balance Sheet'!E20/'Income Statement'!E7*365</f>
        <v>59.270501173214605</v>
      </c>
      <c r="F17" s="167">
        <f>'Balance Sheet'!F20/'Income Statement'!F7*365</f>
        <v>70.564355525598216</v>
      </c>
      <c r="G17" s="167">
        <f>'Balance Sheet'!G20/'Income Statement'!G7*365</f>
        <v>57.325010004001605</v>
      </c>
      <c r="H17" s="167">
        <f>Assumptions!$C$22</f>
        <v>57</v>
      </c>
      <c r="I17" s="167">
        <f>Assumptions!$C$22</f>
        <v>57</v>
      </c>
      <c r="J17" s="167">
        <f>Assumptions!$C$22</f>
        <v>57</v>
      </c>
      <c r="K17" s="167">
        <f>Assumptions!$C$22</f>
        <v>57</v>
      </c>
      <c r="L17" s="168">
        <f>Assumptions!$C$22</f>
        <v>57</v>
      </c>
    </row>
  </sheetData>
  <mergeCells count="2">
    <mergeCell ref="C3:G3"/>
    <mergeCell ref="H3:L3"/>
  </mergeCells>
  <pageMargins left="0.7" right="0.7" top="0.75" bottom="0.75" header="0.3" footer="0.3"/>
  <pageSetup paperSize="9" orientation="portrait" horizontalDpi="4294967293"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73FB-08AF-41AC-AC7D-D7910136F169}">
  <dimension ref="B3:L15"/>
  <sheetViews>
    <sheetView zoomScale="47" workbookViewId="0">
      <selection activeCell="O4" sqref="O4"/>
    </sheetView>
  </sheetViews>
  <sheetFormatPr defaultRowHeight="14.4" x14ac:dyDescent="0.3"/>
  <cols>
    <col min="1" max="1" width="8.88671875" style="1"/>
    <col min="2" max="2" width="16.6640625" style="1" customWidth="1"/>
    <col min="3" max="12" width="8.88671875" style="1"/>
    <col min="13" max="17" width="9.88671875" style="1" customWidth="1"/>
    <col min="18" max="16384" width="8.88671875" style="1"/>
  </cols>
  <sheetData>
    <row r="3" spans="2:12" x14ac:dyDescent="0.3">
      <c r="C3" s="179" t="s">
        <v>104</v>
      </c>
      <c r="D3" s="180"/>
      <c r="E3" s="180"/>
      <c r="F3" s="180"/>
      <c r="G3" s="181"/>
      <c r="H3" s="179" t="s">
        <v>105</v>
      </c>
      <c r="I3" s="180"/>
      <c r="J3" s="180"/>
      <c r="K3" s="180"/>
      <c r="L3" s="181"/>
    </row>
    <row r="4" spans="2:12" x14ac:dyDescent="0.3">
      <c r="B4" s="5" t="s">
        <v>43</v>
      </c>
      <c r="C4" s="5" t="s">
        <v>44</v>
      </c>
      <c r="D4" s="71" t="s">
        <v>45</v>
      </c>
      <c r="E4" s="71" t="s">
        <v>46</v>
      </c>
      <c r="F4" s="71" t="s">
        <v>47</v>
      </c>
      <c r="G4" s="71" t="s">
        <v>52</v>
      </c>
      <c r="H4" s="71" t="s">
        <v>60</v>
      </c>
      <c r="I4" s="71" t="s">
        <v>61</v>
      </c>
      <c r="J4" s="71" t="s">
        <v>62</v>
      </c>
      <c r="K4" s="71" t="s">
        <v>63</v>
      </c>
      <c r="L4" s="72" t="s">
        <v>64</v>
      </c>
    </row>
    <row r="5" spans="2:12" x14ac:dyDescent="0.3">
      <c r="B5" s="119" t="s">
        <v>125</v>
      </c>
      <c r="C5" s="119">
        <v>0</v>
      </c>
      <c r="D5" s="120">
        <f>'Balance Sheet'!C11</f>
        <v>2778</v>
      </c>
      <c r="E5" s="120">
        <f>'Balance Sheet'!D11</f>
        <v>3807</v>
      </c>
      <c r="F5" s="120">
        <f>'Balance Sheet'!E11</f>
        <v>3914</v>
      </c>
      <c r="G5" s="120">
        <f>'Balance Sheet'!F11</f>
        <v>6283</v>
      </c>
      <c r="H5" s="75">
        <f>'Balance Sheet'!G11</f>
        <v>10383</v>
      </c>
      <c r="I5" s="75">
        <f>H8</f>
        <v>23019.157000000003</v>
      </c>
      <c r="J5" s="75">
        <f t="shared" ref="J5:L5" si="0">I8</f>
        <v>33633.112640000007</v>
      </c>
      <c r="K5" s="75">
        <f t="shared" si="0"/>
        <v>42727.630499600011</v>
      </c>
      <c r="L5" s="76">
        <f t="shared" si="0"/>
        <v>50548.033324814009</v>
      </c>
    </row>
    <row r="6" spans="2:12" x14ac:dyDescent="0.3">
      <c r="B6" s="9" t="s">
        <v>126</v>
      </c>
      <c r="C6" s="82">
        <f>ABS('Cash Flow Statement'!C11)</f>
        <v>976</v>
      </c>
      <c r="D6" s="70">
        <f>ABS('Cash Flow Statement'!D11)</f>
        <v>1833</v>
      </c>
      <c r="E6" s="70">
        <f>ABS('Cash Flow Statement'!E11)</f>
        <v>1069</v>
      </c>
      <c r="F6" s="70">
        <f>ABS('Cash Flow Statement'!F11)</f>
        <v>3236</v>
      </c>
      <c r="G6" s="70">
        <f>ABS('Cash Flow Statement'!G11)</f>
        <v>6042</v>
      </c>
      <c r="H6" s="70">
        <f>Assumptions!$C$25*'Income Statement'!H5</f>
        <v>15439.567000000001</v>
      </c>
      <c r="I6" s="70">
        <f>Assumptions!$C$25*'Income Statement'!I5</f>
        <v>16829.128030000003</v>
      </c>
      <c r="J6" s="70">
        <f>Assumptions!$C$25*'Income Statement'!J5</f>
        <v>18175.458272400003</v>
      </c>
      <c r="K6" s="70">
        <f>Assumptions!$C$25*'Income Statement'!K5</f>
        <v>19356.863060105999</v>
      </c>
      <c r="L6" s="83">
        <f>Assumptions!$C$25*'Income Statement'!L5</f>
        <v>20324.706213111302</v>
      </c>
    </row>
    <row r="7" spans="2:12" x14ac:dyDescent="0.3">
      <c r="B7" s="11" t="s">
        <v>127</v>
      </c>
      <c r="C7" s="90">
        <f>'Income Statement'!C15</f>
        <v>1174</v>
      </c>
      <c r="D7" s="80">
        <f>'Income Statement'!D15</f>
        <v>1554</v>
      </c>
      <c r="E7" s="80">
        <f>'Income Statement'!E15</f>
        <v>1508</v>
      </c>
      <c r="F7" s="80">
        <f>'Income Statement'!F15</f>
        <v>1864</v>
      </c>
      <c r="G7" s="80">
        <f>'Income Statement'!G15</f>
        <v>2843</v>
      </c>
      <c r="H7" s="80">
        <f>H5*Assumptions!$C$26</f>
        <v>2803.4100000000003</v>
      </c>
      <c r="I7" s="80">
        <f>I5*Assumptions!$C$26</f>
        <v>6215.1723900000015</v>
      </c>
      <c r="J7" s="80">
        <f>J5*Assumptions!$C$26</f>
        <v>9080.9404128000024</v>
      </c>
      <c r="K7" s="80">
        <f>K5*Assumptions!$C$26</f>
        <v>11536.460234892003</v>
      </c>
      <c r="L7" s="81">
        <f>L5*Assumptions!$C$26</f>
        <v>13647.968997699783</v>
      </c>
    </row>
    <row r="8" spans="2:12" x14ac:dyDescent="0.3">
      <c r="B8" s="9" t="s">
        <v>128</v>
      </c>
      <c r="C8" s="82">
        <f>'Balance Sheet'!C11</f>
        <v>2778</v>
      </c>
      <c r="D8" s="227">
        <f>'Balance Sheet'!D11</f>
        <v>3807</v>
      </c>
      <c r="E8" s="227">
        <f>'Balance Sheet'!E11</f>
        <v>3914</v>
      </c>
      <c r="F8" s="227">
        <f>'Balance Sheet'!F11</f>
        <v>6283</v>
      </c>
      <c r="G8" s="227">
        <f>'Balance Sheet'!G11</f>
        <v>10383</v>
      </c>
      <c r="H8" s="227">
        <f>H5+H6-H7</f>
        <v>23019.157000000003</v>
      </c>
      <c r="I8" s="227">
        <f t="shared" ref="I8:L8" si="1">I5+I6-I7</f>
        <v>33633.112640000007</v>
      </c>
      <c r="J8" s="227">
        <f t="shared" si="1"/>
        <v>42727.630499600011</v>
      </c>
      <c r="K8" s="227">
        <f t="shared" si="1"/>
        <v>50548.033324814009</v>
      </c>
      <c r="L8" s="83">
        <f t="shared" si="1"/>
        <v>57224.770540225531</v>
      </c>
    </row>
    <row r="9" spans="2:12" x14ac:dyDescent="0.3">
      <c r="B9" s="228" t="s">
        <v>257</v>
      </c>
      <c r="C9" s="230">
        <f t="shared" ref="C9:L9" si="2">C6/C7</f>
        <v>0.83134582623509368</v>
      </c>
      <c r="D9" s="230">
        <f t="shared" si="2"/>
        <v>1.1795366795366795</v>
      </c>
      <c r="E9" s="230">
        <f t="shared" si="2"/>
        <v>0.70888594164456231</v>
      </c>
      <c r="F9" s="230">
        <f t="shared" si="2"/>
        <v>1.7360515021459229</v>
      </c>
      <c r="G9" s="230">
        <f t="shared" si="2"/>
        <v>2.1252198381990857</v>
      </c>
      <c r="H9" s="230">
        <f>H6/H7</f>
        <v>5.5074238159955193</v>
      </c>
      <c r="I9" s="230">
        <f t="shared" si="2"/>
        <v>2.7077491940653959</v>
      </c>
      <c r="J9" s="230">
        <f t="shared" si="2"/>
        <v>2.0014951586711063</v>
      </c>
      <c r="K9" s="230">
        <f t="shared" si="2"/>
        <v>1.6778858216458115</v>
      </c>
      <c r="L9" s="231">
        <f t="shared" si="2"/>
        <v>1.489211047924919</v>
      </c>
    </row>
    <row r="15" spans="2:12" x14ac:dyDescent="0.3">
      <c r="C15" s="229"/>
    </row>
  </sheetData>
  <mergeCells count="2">
    <mergeCell ref="C3:G3"/>
    <mergeCell ref="H3:L3"/>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3264-498C-4A10-805F-78E374D3E0D6}">
  <dimension ref="B4:C14"/>
  <sheetViews>
    <sheetView zoomScale="56" workbookViewId="0">
      <selection activeCell="F6" sqref="F6"/>
    </sheetView>
  </sheetViews>
  <sheetFormatPr defaultRowHeight="14.4" x14ac:dyDescent="0.3"/>
  <cols>
    <col min="1" max="1" width="8.88671875" style="1"/>
    <col min="2" max="2" width="14.6640625" style="1" customWidth="1"/>
    <col min="3" max="16384" width="8.88671875" style="1"/>
  </cols>
  <sheetData>
    <row r="4" spans="2:3" x14ac:dyDescent="0.3">
      <c r="B4" s="122" t="s">
        <v>43</v>
      </c>
      <c r="C4" s="118" t="s">
        <v>168</v>
      </c>
    </row>
    <row r="5" spans="2:3" x14ac:dyDescent="0.3">
      <c r="B5" s="111" t="s">
        <v>169</v>
      </c>
      <c r="C5" s="70">
        <f>'Balance Sheet'!G24</f>
        <v>7469</v>
      </c>
    </row>
    <row r="6" spans="2:3" x14ac:dyDescent="0.3">
      <c r="B6" s="111" t="s">
        <v>170</v>
      </c>
      <c r="C6" s="70">
        <f>0</f>
        <v>0</v>
      </c>
    </row>
    <row r="7" spans="2:3" x14ac:dyDescent="0.3">
      <c r="B7" s="111" t="s">
        <v>171</v>
      </c>
      <c r="C7" s="70">
        <f>0</f>
        <v>0</v>
      </c>
    </row>
    <row r="8" spans="2:3" x14ac:dyDescent="0.3">
      <c r="B8" s="111" t="s">
        <v>172</v>
      </c>
      <c r="C8" s="70">
        <f>C5+C6+C7</f>
        <v>7469</v>
      </c>
    </row>
    <row r="9" spans="2:3" x14ac:dyDescent="0.3">
      <c r="B9" s="111" t="s">
        <v>173</v>
      </c>
      <c r="C9" s="70">
        <f>'Balance Sheet'!G22</f>
        <v>999</v>
      </c>
    </row>
    <row r="10" spans="2:3" x14ac:dyDescent="0.3">
      <c r="B10" s="111" t="s">
        <v>170</v>
      </c>
      <c r="C10" s="70">
        <f>0</f>
        <v>0</v>
      </c>
    </row>
    <row r="11" spans="2:3" x14ac:dyDescent="0.3">
      <c r="B11" s="111" t="s">
        <v>174</v>
      </c>
      <c r="C11" s="70">
        <f>C9+C10</f>
        <v>999</v>
      </c>
    </row>
    <row r="12" spans="2:3" x14ac:dyDescent="0.3">
      <c r="B12" s="111" t="s">
        <v>136</v>
      </c>
      <c r="C12" s="70">
        <f>C8+C11</f>
        <v>8468</v>
      </c>
    </row>
    <row r="13" spans="2:3" x14ac:dyDescent="0.3">
      <c r="B13" s="111" t="s">
        <v>175</v>
      </c>
      <c r="C13" s="123">
        <f>Assumptions!$C$32</f>
        <v>5.5E-2</v>
      </c>
    </row>
    <row r="14" spans="2:3" x14ac:dyDescent="0.3">
      <c r="B14" s="111" t="s">
        <v>70</v>
      </c>
      <c r="C14" s="1">
        <f>C12*C13</f>
        <v>465.74</v>
      </c>
    </row>
  </sheetData>
  <pageMargins left="0.7" right="0.7" top="0.75" bottom="0.75" header="0.3" footer="0.3"/>
  <pageSetup paperSize="9" orientation="portrait" horizontalDpi="4294967293"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D53A-CE4F-4DC7-A023-505CCB0167B2}">
  <dimension ref="G3:L17"/>
  <sheetViews>
    <sheetView zoomScale="50" workbookViewId="0">
      <selection activeCell="N4" sqref="N4"/>
    </sheetView>
  </sheetViews>
  <sheetFormatPr defaultRowHeight="14.4" x14ac:dyDescent="0.3"/>
  <cols>
    <col min="1" max="6" width="8.88671875" style="1"/>
    <col min="7" max="7" width="25.77734375" style="1" customWidth="1"/>
    <col min="8" max="12" width="9.88671875" style="1" customWidth="1"/>
    <col min="13" max="16384" width="8.88671875" style="1"/>
  </cols>
  <sheetData>
    <row r="3" spans="7:12" x14ac:dyDescent="0.3">
      <c r="H3" s="179" t="s">
        <v>105</v>
      </c>
      <c r="I3" s="180"/>
      <c r="J3" s="180"/>
      <c r="K3" s="180"/>
      <c r="L3" s="181"/>
    </row>
    <row r="4" spans="7:12" x14ac:dyDescent="0.3">
      <c r="G4" s="5" t="s">
        <v>43</v>
      </c>
      <c r="H4" s="5" t="s">
        <v>60</v>
      </c>
      <c r="I4" s="71" t="s">
        <v>61</v>
      </c>
      <c r="J4" s="71" t="s">
        <v>62</v>
      </c>
      <c r="K4" s="71" t="s">
        <v>63</v>
      </c>
      <c r="L4" s="72" t="s">
        <v>64</v>
      </c>
    </row>
    <row r="5" spans="7:12" x14ac:dyDescent="0.3">
      <c r="G5" s="119" t="s">
        <v>138</v>
      </c>
      <c r="H5" s="124">
        <f>Assumptions!$C$29+Assumptions!$C$31*Assumptions!$C$30</f>
        <v>9.5000000000000001E-2</v>
      </c>
      <c r="I5" s="125">
        <f>Assumptions!$C$29+Assumptions!$C$31*Assumptions!$C$30</f>
        <v>9.5000000000000001E-2</v>
      </c>
      <c r="J5" s="125">
        <f>Assumptions!$C$29+Assumptions!$C$31*Assumptions!$C$30</f>
        <v>9.5000000000000001E-2</v>
      </c>
      <c r="K5" s="125">
        <f>Assumptions!$C$29+Assumptions!$C$31*Assumptions!$C$30</f>
        <v>9.5000000000000001E-2</v>
      </c>
      <c r="L5" s="126">
        <f>Assumptions!$C$29+Assumptions!$C$31*Assumptions!$C$30</f>
        <v>9.5000000000000001E-2</v>
      </c>
    </row>
    <row r="6" spans="7:12" x14ac:dyDescent="0.3">
      <c r="G6" s="9" t="s">
        <v>139</v>
      </c>
      <c r="H6" s="127">
        <f>Assumptions!$C$32*(1-Assumptions!$C$17)</f>
        <v>4.1250000000000002E-2</v>
      </c>
      <c r="I6" s="128">
        <f>Assumptions!$C$32*(1-Assumptions!$C$17)</f>
        <v>4.1250000000000002E-2</v>
      </c>
      <c r="J6" s="128">
        <f>Assumptions!$C$32*(1-Assumptions!$C$17)</f>
        <v>4.1250000000000002E-2</v>
      </c>
      <c r="K6" s="128">
        <f>Assumptions!$C$32*(1-Assumptions!$C$17)</f>
        <v>4.1250000000000002E-2</v>
      </c>
      <c r="L6" s="129">
        <f>Assumptions!$C$32*(1-Assumptions!$C$17)</f>
        <v>4.1250000000000002E-2</v>
      </c>
    </row>
    <row r="7" spans="7:12" x14ac:dyDescent="0.3">
      <c r="G7" s="11" t="s">
        <v>140</v>
      </c>
      <c r="H7" s="130">
        <f>Assumptions!$C$33/(Assumptions!$C$33+Assumptions!$C$34)</f>
        <v>0.99744050720756561</v>
      </c>
      <c r="I7" s="131">
        <f>Assumptions!$C$33/(Assumptions!$C$33+Assumptions!$C$34)</f>
        <v>0.99744050720756561</v>
      </c>
      <c r="J7" s="131">
        <f>Assumptions!$C$33/(Assumptions!$C$33+Assumptions!$C$34)</f>
        <v>0.99744050720756561</v>
      </c>
      <c r="K7" s="131">
        <f>Assumptions!$C$33/(Assumptions!$C$33+Assumptions!$C$34)</f>
        <v>0.99744050720756561</v>
      </c>
      <c r="L7" s="132">
        <f>Assumptions!$C$33/(Assumptions!$C$33+Assumptions!$C$34)</f>
        <v>0.99744050720756561</v>
      </c>
    </row>
    <row r="8" spans="7:12" x14ac:dyDescent="0.3">
      <c r="G8" s="9" t="s">
        <v>141</v>
      </c>
      <c r="H8" s="133">
        <f>Assumptions!$C$34/(Assumptions!$C$33+Assumptions!$C$34)</f>
        <v>2.559492792434444E-3</v>
      </c>
      <c r="I8" s="123">
        <f>Assumptions!$C$34/(Assumptions!$C$33+Assumptions!$C$34)</f>
        <v>2.559492792434444E-3</v>
      </c>
      <c r="J8" s="123">
        <f>Assumptions!$C$34/(Assumptions!$C$33+Assumptions!$C$34)</f>
        <v>2.559492792434444E-3</v>
      </c>
      <c r="K8" s="123">
        <f>Assumptions!$C$34/(Assumptions!$C$33+Assumptions!$C$34)</f>
        <v>2.559492792434444E-3</v>
      </c>
      <c r="L8" s="134">
        <f>Assumptions!$C$34/(Assumptions!$C$33+Assumptions!$C$34)</f>
        <v>2.559492792434444E-3</v>
      </c>
    </row>
    <row r="9" spans="7:12" x14ac:dyDescent="0.3">
      <c r="G9" s="11" t="s">
        <v>192</v>
      </c>
      <c r="H9" s="135">
        <f>IF(Sensitivity!$K$2&lt;&gt;"",Sensitivity!$K$2,(H7*H5)+(H8*H6))</f>
        <v>9.486E-2</v>
      </c>
      <c r="I9" s="136">
        <f>IF(Sensitivity!$K$2&lt;&gt;"",Sensitivity!$K$2,(I7*I5)+(I8*I6))</f>
        <v>9.486E-2</v>
      </c>
      <c r="J9" s="136">
        <f>IF(Sensitivity!$K$2&lt;&gt;"",Sensitivity!$K$2,(J7*J5)+(J8*J6))</f>
        <v>9.486E-2</v>
      </c>
      <c r="K9" s="136">
        <f>IF(Sensitivity!$K$2&lt;&gt;"",Sensitivity!$K$2,(K7*K5)+(K8*K6))</f>
        <v>9.486E-2</v>
      </c>
      <c r="L9" s="137">
        <f>IF(Sensitivity!$K$2&lt;&gt;"",Sensitivity!$K$2,(L7*L5)+(L8*L6))</f>
        <v>9.486E-2</v>
      </c>
    </row>
    <row r="10" spans="7:12" x14ac:dyDescent="0.3">
      <c r="G10" s="112" t="s">
        <v>193</v>
      </c>
      <c r="H10" s="138">
        <f>(H7*H5)+(H8*H6)</f>
        <v>9.4862427262406651E-2</v>
      </c>
      <c r="I10" s="139">
        <f t="shared" ref="I10:L10" si="0">(I7*I5)+(I8*I6)</f>
        <v>9.4862427262406651E-2</v>
      </c>
      <c r="J10" s="139">
        <f t="shared" si="0"/>
        <v>9.4862427262406651E-2</v>
      </c>
      <c r="K10" s="139">
        <f t="shared" si="0"/>
        <v>9.4862427262406651E-2</v>
      </c>
      <c r="L10" s="140">
        <f t="shared" si="0"/>
        <v>9.4862427262406651E-2</v>
      </c>
    </row>
    <row r="12" spans="7:12" ht="14.4" customHeight="1" x14ac:dyDescent="0.3">
      <c r="G12" s="182" t="s">
        <v>222</v>
      </c>
      <c r="H12" s="183"/>
      <c r="I12" s="183"/>
      <c r="J12" s="183"/>
      <c r="K12" s="183"/>
      <c r="L12" s="184"/>
    </row>
    <row r="13" spans="7:12" x14ac:dyDescent="0.3">
      <c r="G13" s="185"/>
      <c r="H13" s="186"/>
      <c r="I13" s="186"/>
      <c r="J13" s="186"/>
      <c r="K13" s="186"/>
      <c r="L13" s="187"/>
    </row>
    <row r="14" spans="7:12" x14ac:dyDescent="0.3">
      <c r="G14" s="185"/>
      <c r="H14" s="186"/>
      <c r="I14" s="186"/>
      <c r="J14" s="186"/>
      <c r="K14" s="186"/>
      <c r="L14" s="187"/>
    </row>
    <row r="15" spans="7:12" x14ac:dyDescent="0.3">
      <c r="G15" s="185"/>
      <c r="H15" s="186"/>
      <c r="I15" s="186"/>
      <c r="J15" s="186"/>
      <c r="K15" s="186"/>
      <c r="L15" s="187"/>
    </row>
    <row r="16" spans="7:12" x14ac:dyDescent="0.3">
      <c r="G16" s="185"/>
      <c r="H16" s="186"/>
      <c r="I16" s="186"/>
      <c r="J16" s="186"/>
      <c r="K16" s="186"/>
      <c r="L16" s="187"/>
    </row>
    <row r="17" spans="7:12" x14ac:dyDescent="0.3">
      <c r="G17" s="188"/>
      <c r="H17" s="189"/>
      <c r="I17" s="189"/>
      <c r="J17" s="189"/>
      <c r="K17" s="189"/>
      <c r="L17" s="190"/>
    </row>
  </sheetData>
  <mergeCells count="2">
    <mergeCell ref="H3:L3"/>
    <mergeCell ref="G12:L17"/>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47E5-950A-460D-AE90-2BA16AEE838B}">
  <dimension ref="B3:AA38"/>
  <sheetViews>
    <sheetView topLeftCell="B1" zoomScale="43" zoomScaleNormal="70" workbookViewId="0">
      <selection activeCell="X7" sqref="X7"/>
    </sheetView>
  </sheetViews>
  <sheetFormatPr defaultRowHeight="14.4" x14ac:dyDescent="0.3"/>
  <cols>
    <col min="1" max="1" width="8.88671875" style="1"/>
    <col min="2" max="2" width="22.21875" style="1" customWidth="1"/>
    <col min="3" max="7" width="10" style="1" customWidth="1"/>
    <col min="8" max="12" width="10.44140625" style="1" customWidth="1"/>
    <col min="13" max="13" width="17.44140625" style="1" customWidth="1"/>
    <col min="14" max="17" width="9.88671875" style="1" customWidth="1"/>
    <col min="18" max="16384" width="8.88671875" style="1"/>
  </cols>
  <sheetData>
    <row r="3" spans="2:13" x14ac:dyDescent="0.3">
      <c r="C3" s="179" t="s">
        <v>104</v>
      </c>
      <c r="D3" s="180"/>
      <c r="E3" s="180"/>
      <c r="F3" s="180"/>
      <c r="G3" s="181"/>
      <c r="H3" s="179" t="s">
        <v>105</v>
      </c>
      <c r="I3" s="180"/>
      <c r="J3" s="180"/>
      <c r="K3" s="180"/>
      <c r="L3" s="181"/>
    </row>
    <row r="4" spans="2:13" x14ac:dyDescent="0.3">
      <c r="B4" s="5" t="s">
        <v>43</v>
      </c>
      <c r="C4" s="5" t="s">
        <v>44</v>
      </c>
      <c r="D4" s="71" t="s">
        <v>45</v>
      </c>
      <c r="E4" s="71" t="s">
        <v>46</v>
      </c>
      <c r="F4" s="71" t="s">
        <v>47</v>
      </c>
      <c r="G4" s="71" t="s">
        <v>52</v>
      </c>
      <c r="H4" s="71" t="s">
        <v>60</v>
      </c>
      <c r="I4" s="71" t="s">
        <v>61</v>
      </c>
      <c r="J4" s="71" t="s">
        <v>62</v>
      </c>
      <c r="K4" s="71" t="s">
        <v>63</v>
      </c>
      <c r="L4" s="72" t="s">
        <v>64</v>
      </c>
    </row>
    <row r="5" spans="2:13" x14ac:dyDescent="0.3">
      <c r="B5" s="119" t="s">
        <v>69</v>
      </c>
      <c r="C5" s="141">
        <f>'Income Statement'!C16</f>
        <v>8867</v>
      </c>
      <c r="D5" s="120">
        <f>'Income Statement'!D16</f>
        <v>2670</v>
      </c>
      <c r="E5" s="120">
        <f>'Income Statement'!E16</f>
        <v>31464</v>
      </c>
      <c r="F5" s="120">
        <f>'Income Statement'!F16</f>
        <v>79589</v>
      </c>
      <c r="G5" s="120">
        <f>'Income Statement'!G16</f>
        <v>127544</v>
      </c>
      <c r="H5" s="75">
        <f>'Income Statement'!H16</f>
        <v>146841.62400000001</v>
      </c>
      <c r="I5" s="75">
        <f>'Income Statement'!I16</f>
        <v>156897.91467000006</v>
      </c>
      <c r="J5" s="75">
        <f>'Income Statement'!J16</f>
        <v>167081.19361200003</v>
      </c>
      <c r="K5" s="75">
        <f>'Income Statement'!K16</f>
        <v>176076.21250151997</v>
      </c>
      <c r="L5" s="76">
        <f>'Income Statement'!L16</f>
        <v>183345.33737553284</v>
      </c>
    </row>
    <row r="6" spans="2:13" x14ac:dyDescent="0.3">
      <c r="B6" s="142" t="s">
        <v>129</v>
      </c>
      <c r="C6" s="142"/>
      <c r="D6" s="143"/>
      <c r="E6" s="143"/>
      <c r="F6" s="143"/>
      <c r="G6" s="143"/>
      <c r="H6" s="143">
        <f>H5*(1-Assumptions!$C$17)</f>
        <v>110131.21800000001</v>
      </c>
      <c r="I6" s="143">
        <f>I5*(1-Assumptions!$C$17)</f>
        <v>117673.43600250004</v>
      </c>
      <c r="J6" s="143">
        <f>J5*(1-Assumptions!$C$17)</f>
        <v>125310.89520900002</v>
      </c>
      <c r="K6" s="143">
        <f>K5*(1-Assumptions!$C$17)</f>
        <v>132057.15937613999</v>
      </c>
      <c r="L6" s="144">
        <f>L5*(1-Assumptions!$C$17)</f>
        <v>137509.00303164963</v>
      </c>
      <c r="M6" s="1" t="s">
        <v>186</v>
      </c>
    </row>
    <row r="7" spans="2:13" x14ac:dyDescent="0.3">
      <c r="B7" s="11" t="s">
        <v>68</v>
      </c>
      <c r="C7" s="90">
        <f>'Cash Flow Statement'!C6</f>
        <v>1174</v>
      </c>
      <c r="D7" s="80">
        <f>'Cash Flow Statement'!D6</f>
        <v>1554</v>
      </c>
      <c r="E7" s="80">
        <f>'Cash Flow Statement'!E6</f>
        <v>1508</v>
      </c>
      <c r="F7" s="80">
        <f>'Cash Flow Statement'!F6</f>
        <v>1864</v>
      </c>
      <c r="G7" s="80">
        <f>'Cash Flow Statement'!G6</f>
        <v>2843</v>
      </c>
      <c r="H7" s="80">
        <f>'Cash Flow Statement'!H6</f>
        <v>2803.4100000000003</v>
      </c>
      <c r="I7" s="80">
        <f>'Cash Flow Statement'!I6</f>
        <v>6215.1723900000015</v>
      </c>
      <c r="J7" s="80">
        <f>'Cash Flow Statement'!J6</f>
        <v>9080.9404128000024</v>
      </c>
      <c r="K7" s="80">
        <f>'Cash Flow Statement'!K6</f>
        <v>11536.460234892003</v>
      </c>
      <c r="L7" s="81">
        <f>'Cash Flow Statement'!L6</f>
        <v>13647.968997699783</v>
      </c>
    </row>
    <row r="8" spans="2:13" x14ac:dyDescent="0.3">
      <c r="B8" s="9" t="s">
        <v>126</v>
      </c>
      <c r="C8" s="82">
        <f>'PP&amp;E Schedule'!C6</f>
        <v>976</v>
      </c>
      <c r="D8" s="70">
        <f>'PP&amp;E Schedule'!D6</f>
        <v>1833</v>
      </c>
      <c r="E8" s="70">
        <f>'PP&amp;E Schedule'!E6</f>
        <v>1069</v>
      </c>
      <c r="F8" s="70">
        <f>'PP&amp;E Schedule'!F6</f>
        <v>3236</v>
      </c>
      <c r="G8" s="70">
        <f>'PP&amp;E Schedule'!G6</f>
        <v>6042</v>
      </c>
      <c r="H8" s="70">
        <f>'PP&amp;E Schedule'!H6</f>
        <v>15439.567000000001</v>
      </c>
      <c r="I8" s="70">
        <f>'PP&amp;E Schedule'!I6</f>
        <v>16829.128030000003</v>
      </c>
      <c r="J8" s="70">
        <f>'PP&amp;E Schedule'!J6</f>
        <v>18175.458272400003</v>
      </c>
      <c r="K8" s="70">
        <f>'PP&amp;E Schedule'!K6</f>
        <v>19356.863060105999</v>
      </c>
      <c r="L8" s="83">
        <f>'PP&amp;E Schedule'!L6</f>
        <v>20324.706213111302</v>
      </c>
    </row>
    <row r="9" spans="2:13" x14ac:dyDescent="0.3">
      <c r="B9" s="11" t="s">
        <v>124</v>
      </c>
      <c r="C9" s="11"/>
      <c r="D9" s="105">
        <f>'Working Capital Schedule'!D9</f>
        <v>2321</v>
      </c>
      <c r="E9" s="105">
        <f>'Working Capital Schedule'!E9</f>
        <v>4789</v>
      </c>
      <c r="F9" s="105">
        <f>'Working Capital Schedule'!F9</f>
        <v>14253</v>
      </c>
      <c r="G9" s="105">
        <f>'Working Capital Schedule'!G9</f>
        <v>23222</v>
      </c>
      <c r="H9" s="105">
        <f>'Working Capital Schedule'!H9</f>
        <v>3306.3084931506819</v>
      </c>
      <c r="I9" s="105">
        <f>'Working Capital Schedule'!I9</f>
        <v>4802.6977643835708</v>
      </c>
      <c r="J9" s="105">
        <f>'Working Capital Schedule'!J9</f>
        <v>4653.2805006027411</v>
      </c>
      <c r="K9" s="105">
        <f>'Working Capital Schedule'!K9</f>
        <v>4083.2536392788898</v>
      </c>
      <c r="L9" s="106">
        <f>'Working Capital Schedule'!L9</f>
        <v>3345.127019870808</v>
      </c>
    </row>
    <row r="10" spans="2:13" x14ac:dyDescent="0.3">
      <c r="B10" s="142" t="s">
        <v>130</v>
      </c>
      <c r="C10" s="145"/>
      <c r="D10" s="146"/>
      <c r="E10" s="146"/>
      <c r="F10" s="146"/>
      <c r="G10" s="146"/>
      <c r="H10" s="146">
        <f>H6+H7-H8-H9</f>
        <v>94188.752506849327</v>
      </c>
      <c r="I10" s="146">
        <f t="shared" ref="I10:L10" si="0">I6+I7-I8-I9</f>
        <v>102256.78259811646</v>
      </c>
      <c r="J10" s="146">
        <f t="shared" si="0"/>
        <v>111563.09684879729</v>
      </c>
      <c r="K10" s="146">
        <f t="shared" si="0"/>
        <v>120153.5029116471</v>
      </c>
      <c r="L10" s="147">
        <f t="shared" si="0"/>
        <v>127487.1387963673</v>
      </c>
      <c r="M10" s="1" t="s">
        <v>186</v>
      </c>
    </row>
    <row r="11" spans="2:13" x14ac:dyDescent="0.3">
      <c r="B11" s="11" t="s">
        <v>131</v>
      </c>
      <c r="C11" s="148" t="s">
        <v>156</v>
      </c>
      <c r="D11" s="149" t="s">
        <v>156</v>
      </c>
      <c r="E11" s="149" t="s">
        <v>156</v>
      </c>
      <c r="F11" s="149" t="s">
        <v>156</v>
      </c>
      <c r="G11" s="149" t="s">
        <v>156</v>
      </c>
      <c r="H11" s="105">
        <v>1</v>
      </c>
      <c r="I11" s="105">
        <v>2</v>
      </c>
      <c r="J11" s="105">
        <v>3</v>
      </c>
      <c r="K11" s="105">
        <v>4</v>
      </c>
      <c r="L11" s="106">
        <v>5</v>
      </c>
      <c r="M11" s="70"/>
    </row>
    <row r="12" spans="2:13" x14ac:dyDescent="0.3">
      <c r="B12" s="9" t="s">
        <v>132</v>
      </c>
      <c r="C12" s="9"/>
      <c r="H12" s="1">
        <f>1/(1+WACC!H9)^H11</f>
        <v>0.91335878559815875</v>
      </c>
      <c r="I12" s="1">
        <f>1/(1+WACC!I9)^I11</f>
        <v>0.83422427122934328</v>
      </c>
      <c r="J12" s="1">
        <f>1/(1+WACC!J9)^J11</f>
        <v>0.76194606728654202</v>
      </c>
      <c r="K12" s="1">
        <f>1/(1+WACC!K9)^K11</f>
        <v>0.69593013470812892</v>
      </c>
      <c r="L12" s="111">
        <f>1/(1+WACC!L9)^L11</f>
        <v>0.63563390269817965</v>
      </c>
    </row>
    <row r="13" spans="2:13" x14ac:dyDescent="0.3">
      <c r="B13" s="11" t="s">
        <v>133</v>
      </c>
      <c r="C13" s="11"/>
      <c r="D13" s="105"/>
      <c r="E13" s="105"/>
      <c r="F13" s="105"/>
      <c r="G13" s="105"/>
      <c r="H13" s="105">
        <f t="shared" ref="H13:L13" si="1">H10*H12</f>
        <v>86028.124606661426</v>
      </c>
      <c r="I13" s="105">
        <f t="shared" si="1"/>
        <v>85305.0899411711</v>
      </c>
      <c r="J13" s="105">
        <f t="shared" si="1"/>
        <v>85005.062898248696</v>
      </c>
      <c r="K13" s="105">
        <f t="shared" si="1"/>
        <v>83618.443466956131</v>
      </c>
      <c r="L13" s="106">
        <f t="shared" si="1"/>
        <v>81035.147576959454</v>
      </c>
    </row>
    <row r="14" spans="2:13" x14ac:dyDescent="0.3">
      <c r="B14" s="9" t="s">
        <v>155</v>
      </c>
      <c r="C14" s="9">
        <f>SUM(H13:L13)</f>
        <v>420991.86848999682</v>
      </c>
      <c r="L14" s="111"/>
    </row>
    <row r="15" spans="2:13" x14ac:dyDescent="0.3">
      <c r="B15" s="11" t="s">
        <v>134</v>
      </c>
      <c r="C15" s="11">
        <f>C14+'Terminal Value'!C10</f>
        <v>1609955.8860448699</v>
      </c>
      <c r="D15" s="105"/>
      <c r="E15" s="105"/>
      <c r="F15" s="105"/>
      <c r="G15" s="105"/>
      <c r="H15" s="105"/>
      <c r="I15" s="105"/>
      <c r="J15" s="105"/>
      <c r="K15" s="105"/>
      <c r="L15" s="106"/>
    </row>
    <row r="16" spans="2:13" x14ac:dyDescent="0.3">
      <c r="B16" s="9" t="s">
        <v>135</v>
      </c>
      <c r="C16" s="82">
        <f>'Balance Sheet'!C5+'Balance Sheet'!C6</f>
        <v>21208</v>
      </c>
      <c r="D16" s="70">
        <f>'Balance Sheet'!D5+'Balance Sheet'!D6</f>
        <v>13296</v>
      </c>
      <c r="E16" s="70">
        <f>'Balance Sheet'!E5+'Balance Sheet'!E6</f>
        <v>25984</v>
      </c>
      <c r="F16" s="70">
        <f>'Balance Sheet'!F5+'Balance Sheet'!F6</f>
        <v>43210</v>
      </c>
      <c r="G16" s="70">
        <f>'Balance Sheet'!G5+'Balance Sheet'!G6</f>
        <v>62556</v>
      </c>
      <c r="H16" s="70">
        <f>'Balance Sheet'!H5+'Balance Sheet'!H6</f>
        <v>159807.92438028092</v>
      </c>
      <c r="I16" s="70">
        <f>'Balance Sheet'!I5+'Balance Sheet'!I6</f>
        <v>265372.12687043782</v>
      </c>
      <c r="J16" s="70">
        <f>'Balance Sheet'!J5+'Balance Sheet'!J6</f>
        <v>380479.29280263878</v>
      </c>
      <c r="K16" s="70">
        <f>'Balance Sheet'!K5+'Balance Sheet'!K6</f>
        <v>504384.52446311072</v>
      </c>
      <c r="L16" s="83">
        <f>'Balance Sheet'!L5+'Balance Sheet'!L6</f>
        <v>635793.51319574413</v>
      </c>
    </row>
    <row r="17" spans="2:27" x14ac:dyDescent="0.3">
      <c r="B17" s="11" t="s">
        <v>136</v>
      </c>
      <c r="C17" s="11">
        <f>'Balance Sheet'!C22+'Balance Sheet'!C24</f>
        <v>10946</v>
      </c>
      <c r="D17" s="105">
        <f>'Balance Sheet'!D22+'Balance Sheet'!D24</f>
        <v>10953</v>
      </c>
      <c r="E17" s="105">
        <f>'Balance Sheet'!E22+'Balance Sheet'!E24</f>
        <v>9709</v>
      </c>
      <c r="F17" s="105">
        <f>'Balance Sheet'!F22+'Balance Sheet'!F24</f>
        <v>8463</v>
      </c>
      <c r="G17" s="105">
        <f>'Balance Sheet'!G22+'Balance Sheet'!G24</f>
        <v>8468</v>
      </c>
      <c r="H17" s="105">
        <f>'Balance Sheet'!H22+'Balance Sheet'!H24</f>
        <v>8468</v>
      </c>
      <c r="I17" s="105">
        <f>'Balance Sheet'!I22+'Balance Sheet'!I24</f>
        <v>8468</v>
      </c>
      <c r="J17" s="105">
        <f>'Balance Sheet'!J22+'Balance Sheet'!J24</f>
        <v>8468</v>
      </c>
      <c r="K17" s="105">
        <f>'Balance Sheet'!K22+'Balance Sheet'!K24</f>
        <v>8468</v>
      </c>
      <c r="L17" s="106">
        <f>'Balance Sheet'!L22+'Balance Sheet'!L24</f>
        <v>8468</v>
      </c>
    </row>
    <row r="18" spans="2:27" x14ac:dyDescent="0.3">
      <c r="B18" s="9" t="s">
        <v>137</v>
      </c>
      <c r="C18" s="82">
        <f>C15+C16-C17</f>
        <v>1620217.8860448699</v>
      </c>
      <c r="D18" s="70">
        <f>$C15+D16-D17</f>
        <v>1612298.8860448699</v>
      </c>
      <c r="E18" s="70">
        <f t="shared" ref="E18:L18" si="2">$C15+E16-E17</f>
        <v>1626230.8860448699</v>
      </c>
      <c r="F18" s="70">
        <f t="shared" si="2"/>
        <v>1644702.8860448699</v>
      </c>
      <c r="G18" s="70">
        <f t="shared" si="2"/>
        <v>1664043.8860448699</v>
      </c>
      <c r="H18" s="70">
        <f t="shared" si="2"/>
        <v>1761295.8104251509</v>
      </c>
      <c r="I18" s="70">
        <f t="shared" si="2"/>
        <v>1866860.0129153077</v>
      </c>
      <c r="J18" s="70">
        <f t="shared" si="2"/>
        <v>1981967.1788475087</v>
      </c>
      <c r="K18" s="70">
        <f t="shared" si="2"/>
        <v>2105872.4105079807</v>
      </c>
      <c r="L18" s="83">
        <f t="shared" si="2"/>
        <v>2237281.3992406139</v>
      </c>
    </row>
    <row r="19" spans="2:27" x14ac:dyDescent="0.3">
      <c r="B19" s="11" t="s">
        <v>41</v>
      </c>
      <c r="C19" s="11">
        <f>Assumptions!$C$39</f>
        <v>24440</v>
      </c>
      <c r="D19" s="105">
        <f>Assumptions!$C$39</f>
        <v>24440</v>
      </c>
      <c r="E19" s="105">
        <f>Assumptions!$C$39</f>
        <v>24440</v>
      </c>
      <c r="F19" s="105">
        <f>Assumptions!$C$39</f>
        <v>24440</v>
      </c>
      <c r="G19" s="105">
        <f>Assumptions!$C$39</f>
        <v>24440</v>
      </c>
      <c r="H19" s="105">
        <f>Assumptions!$C$39</f>
        <v>24440</v>
      </c>
      <c r="I19" s="105">
        <f>Assumptions!$C$39</f>
        <v>24440</v>
      </c>
      <c r="J19" s="105">
        <f>Assumptions!$C$39</f>
        <v>24440</v>
      </c>
      <c r="K19" s="105">
        <f>Assumptions!$C$39</f>
        <v>24440</v>
      </c>
      <c r="L19" s="106">
        <f>Assumptions!$C$39</f>
        <v>24440</v>
      </c>
      <c r="AA19" s="171"/>
    </row>
    <row r="20" spans="2:27" x14ac:dyDescent="0.3">
      <c r="B20" s="9" t="s">
        <v>187</v>
      </c>
      <c r="C20" s="9">
        <f>C18/C19</f>
        <v>66.293694191688616</v>
      </c>
      <c r="D20" s="1">
        <f t="shared" ref="D20:L20" si="3">D18/D19</f>
        <v>65.969676188415292</v>
      </c>
      <c r="E20" s="1">
        <f t="shared" si="3"/>
        <v>66.539725288251631</v>
      </c>
      <c r="F20" s="1">
        <f t="shared" si="3"/>
        <v>67.295535435551145</v>
      </c>
      <c r="G20" s="1">
        <f t="shared" si="3"/>
        <v>68.086902047662434</v>
      </c>
      <c r="H20" s="1">
        <f t="shared" si="3"/>
        <v>72.066113356184573</v>
      </c>
      <c r="I20" s="1">
        <f t="shared" si="3"/>
        <v>76.385434243670531</v>
      </c>
      <c r="J20" s="1">
        <f t="shared" si="3"/>
        <v>81.095220083776951</v>
      </c>
      <c r="K20" s="1">
        <f t="shared" si="3"/>
        <v>86.164992246644061</v>
      </c>
      <c r="L20" s="111">
        <f t="shared" si="3"/>
        <v>91.541792112954738</v>
      </c>
    </row>
    <row r="21" spans="2:27" x14ac:dyDescent="0.3">
      <c r="B21" s="59" t="s">
        <v>194</v>
      </c>
      <c r="C21" s="80">
        <f>C14+'Terminal Value'!C14</f>
        <v>1798363.7339797933</v>
      </c>
      <c r="D21" s="105"/>
      <c r="E21" s="105"/>
      <c r="F21" s="105"/>
      <c r="G21" s="105"/>
      <c r="H21" s="105"/>
      <c r="I21" s="105"/>
      <c r="J21" s="105"/>
      <c r="K21" s="105"/>
      <c r="L21" s="106"/>
    </row>
    <row r="22" spans="2:27" x14ac:dyDescent="0.3">
      <c r="B22" s="58" t="s">
        <v>195</v>
      </c>
      <c r="C22" s="70">
        <f>C21+G16-G17</f>
        <v>1852451.7339797933</v>
      </c>
      <c r="L22" s="111"/>
    </row>
    <row r="23" spans="2:27" x14ac:dyDescent="0.3">
      <c r="B23" s="150" t="s">
        <v>196</v>
      </c>
      <c r="C23" s="151">
        <f>C22/C19</f>
        <v>75.795897462348336</v>
      </c>
      <c r="D23" s="151"/>
      <c r="E23" s="151"/>
      <c r="F23" s="151"/>
      <c r="G23" s="151"/>
      <c r="H23" s="151"/>
      <c r="I23" s="151"/>
      <c r="J23" s="151"/>
      <c r="K23" s="151"/>
      <c r="L23" s="162"/>
    </row>
    <row r="25" spans="2:27" ht="14.4" customHeight="1" x14ac:dyDescent="0.3">
      <c r="B25" s="182" t="s">
        <v>225</v>
      </c>
      <c r="C25" s="183"/>
      <c r="D25" s="183"/>
      <c r="E25" s="183"/>
      <c r="F25" s="183"/>
      <c r="G25" s="183"/>
      <c r="H25" s="183"/>
      <c r="I25" s="183"/>
      <c r="J25" s="183"/>
      <c r="K25" s="183"/>
      <c r="L25" s="184"/>
    </row>
    <row r="26" spans="2:27" x14ac:dyDescent="0.3">
      <c r="B26" s="185"/>
      <c r="C26" s="186"/>
      <c r="D26" s="186"/>
      <c r="E26" s="186"/>
      <c r="F26" s="186"/>
      <c r="G26" s="186"/>
      <c r="H26" s="186"/>
      <c r="I26" s="186"/>
      <c r="J26" s="186"/>
      <c r="K26" s="186"/>
      <c r="L26" s="187"/>
    </row>
    <row r="27" spans="2:27" x14ac:dyDescent="0.3">
      <c r="B27" s="185"/>
      <c r="C27" s="186"/>
      <c r="D27" s="186"/>
      <c r="E27" s="186"/>
      <c r="F27" s="186"/>
      <c r="G27" s="186"/>
      <c r="H27" s="186"/>
      <c r="I27" s="186"/>
      <c r="J27" s="186"/>
      <c r="K27" s="186"/>
      <c r="L27" s="187"/>
    </row>
    <row r="28" spans="2:27" x14ac:dyDescent="0.3">
      <c r="B28" s="185"/>
      <c r="C28" s="186"/>
      <c r="D28" s="186"/>
      <c r="E28" s="186"/>
      <c r="F28" s="186"/>
      <c r="G28" s="186"/>
      <c r="H28" s="186"/>
      <c r="I28" s="186"/>
      <c r="J28" s="186"/>
      <c r="K28" s="186"/>
      <c r="L28" s="187"/>
    </row>
    <row r="29" spans="2:27" x14ac:dyDescent="0.3">
      <c r="B29" s="185"/>
      <c r="C29" s="186"/>
      <c r="D29" s="186"/>
      <c r="E29" s="186"/>
      <c r="F29" s="186"/>
      <c r="G29" s="186"/>
      <c r="H29" s="186"/>
      <c r="I29" s="186"/>
      <c r="J29" s="186"/>
      <c r="K29" s="186"/>
      <c r="L29" s="187"/>
    </row>
    <row r="30" spans="2:27" x14ac:dyDescent="0.3">
      <c r="B30" s="188"/>
      <c r="C30" s="189"/>
      <c r="D30" s="189"/>
      <c r="E30" s="189"/>
      <c r="F30" s="189"/>
      <c r="G30" s="189"/>
      <c r="H30" s="189"/>
      <c r="I30" s="189"/>
      <c r="J30" s="189"/>
      <c r="K30" s="189"/>
      <c r="L30" s="190"/>
    </row>
    <row r="32" spans="2:27" x14ac:dyDescent="0.3">
      <c r="B32" s="5" t="s">
        <v>43</v>
      </c>
      <c r="C32" s="71" t="s">
        <v>168</v>
      </c>
      <c r="D32" s="72" t="s">
        <v>226</v>
      </c>
      <c r="G32" s="117" t="s">
        <v>43</v>
      </c>
      <c r="H32" s="117" t="s">
        <v>60</v>
      </c>
      <c r="I32" s="117" t="s">
        <v>61</v>
      </c>
      <c r="J32" s="117" t="s">
        <v>62</v>
      </c>
      <c r="K32" s="117" t="s">
        <v>63</v>
      </c>
      <c r="L32" s="117" t="s">
        <v>64</v>
      </c>
    </row>
    <row r="33" spans="2:12" x14ac:dyDescent="0.3">
      <c r="B33" s="163" t="s">
        <v>227</v>
      </c>
      <c r="C33" s="158">
        <f>C14</f>
        <v>420991.86848999682</v>
      </c>
      <c r="D33" s="159" t="s">
        <v>231</v>
      </c>
      <c r="G33" s="170" t="s">
        <v>129</v>
      </c>
      <c r="H33" s="1">
        <f t="shared" ref="H33:L37" si="4">H6</f>
        <v>110131.21800000001</v>
      </c>
      <c r="I33" s="1">
        <f t="shared" si="4"/>
        <v>117673.43600250004</v>
      </c>
      <c r="J33" s="1">
        <f t="shared" si="4"/>
        <v>125310.89520900002</v>
      </c>
      <c r="K33" s="1">
        <f t="shared" si="4"/>
        <v>132057.15937613999</v>
      </c>
      <c r="L33" s="1">
        <f t="shared" si="4"/>
        <v>137509.00303164963</v>
      </c>
    </row>
    <row r="34" spans="2:12" x14ac:dyDescent="0.3">
      <c r="B34" s="9" t="s">
        <v>228</v>
      </c>
      <c r="C34" s="70">
        <f>'Terminal Value'!C10</f>
        <v>1188964.0175548731</v>
      </c>
      <c r="D34" s="111" t="s">
        <v>231</v>
      </c>
      <c r="G34" s="58" t="s">
        <v>237</v>
      </c>
      <c r="H34" s="1">
        <f t="shared" si="4"/>
        <v>2803.4100000000003</v>
      </c>
      <c r="I34" s="1">
        <f t="shared" si="4"/>
        <v>6215.1723900000015</v>
      </c>
      <c r="J34" s="1">
        <f t="shared" si="4"/>
        <v>9080.9404128000024</v>
      </c>
      <c r="K34" s="1">
        <f t="shared" si="4"/>
        <v>11536.460234892003</v>
      </c>
      <c r="L34" s="1">
        <f t="shared" si="4"/>
        <v>13647.968997699783</v>
      </c>
    </row>
    <row r="35" spans="2:12" ht="28.8" x14ac:dyDescent="0.3">
      <c r="B35" s="163" t="s">
        <v>229</v>
      </c>
      <c r="C35" s="164">
        <f>C15</f>
        <v>1609955.8860448699</v>
      </c>
      <c r="D35" s="159" t="s">
        <v>232</v>
      </c>
      <c r="G35" s="32" t="s">
        <v>238</v>
      </c>
      <c r="H35" s="70">
        <f>-H8</f>
        <v>-15439.567000000001</v>
      </c>
      <c r="I35" s="70">
        <f t="shared" ref="I35:L35" si="5">-I8</f>
        <v>-16829.128030000003</v>
      </c>
      <c r="J35" s="70">
        <f t="shared" si="5"/>
        <v>-18175.458272400003</v>
      </c>
      <c r="K35" s="70">
        <f t="shared" si="5"/>
        <v>-19356.863060105999</v>
      </c>
      <c r="L35" s="70">
        <f t="shared" si="5"/>
        <v>-20324.706213111302</v>
      </c>
    </row>
    <row r="36" spans="2:12" ht="37.799999999999997" customHeight="1" x14ac:dyDescent="0.3">
      <c r="B36" s="9" t="s">
        <v>135</v>
      </c>
      <c r="C36" s="70">
        <f>G16</f>
        <v>62556</v>
      </c>
      <c r="D36" s="111" t="s">
        <v>231</v>
      </c>
      <c r="G36" s="32" t="s">
        <v>239</v>
      </c>
      <c r="H36" s="1">
        <f>-H9</f>
        <v>-3306.3084931506819</v>
      </c>
      <c r="I36" s="1">
        <f t="shared" ref="I36:L36" si="6">-I9</f>
        <v>-4802.6977643835708</v>
      </c>
      <c r="J36" s="1">
        <f t="shared" si="6"/>
        <v>-4653.2805006027411</v>
      </c>
      <c r="K36" s="1">
        <f t="shared" si="6"/>
        <v>-4083.2536392788898</v>
      </c>
      <c r="L36" s="1">
        <f t="shared" si="6"/>
        <v>-3345.127019870808</v>
      </c>
    </row>
    <row r="37" spans="2:12" x14ac:dyDescent="0.3">
      <c r="B37" s="163" t="s">
        <v>230</v>
      </c>
      <c r="C37" s="158">
        <f>-G17</f>
        <v>-8468</v>
      </c>
      <c r="D37" s="159" t="s">
        <v>233</v>
      </c>
      <c r="G37" s="20" t="s">
        <v>130</v>
      </c>
      <c r="H37" s="1">
        <f t="shared" si="4"/>
        <v>94188.752506849327</v>
      </c>
      <c r="I37" s="1">
        <f t="shared" si="4"/>
        <v>102256.78259811646</v>
      </c>
      <c r="J37" s="1">
        <f t="shared" si="4"/>
        <v>111563.09684879729</v>
      </c>
      <c r="K37" s="1">
        <f t="shared" si="4"/>
        <v>120153.5029116471</v>
      </c>
      <c r="L37" s="1">
        <f t="shared" si="4"/>
        <v>127487.1387963673</v>
      </c>
    </row>
    <row r="38" spans="2:12" x14ac:dyDescent="0.3">
      <c r="B38" s="112" t="s">
        <v>137</v>
      </c>
      <c r="C38" s="121">
        <f>G18</f>
        <v>1664043.8860448699</v>
      </c>
      <c r="D38" s="21" t="s">
        <v>232</v>
      </c>
    </row>
  </sheetData>
  <mergeCells count="3">
    <mergeCell ref="C3:G3"/>
    <mergeCell ref="H3:L3"/>
    <mergeCell ref="B25:L30"/>
  </mergeCells>
  <pageMargins left="0.7" right="0.7" top="0.75" bottom="0.75" header="0.3" footer="0.3"/>
  <pageSetup paperSize="9" orientation="portrait" horizontalDpi="4294967293" verticalDpi="0"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961-5F99-49E1-ACF2-935B98410CD8}">
  <dimension ref="B4:F33"/>
  <sheetViews>
    <sheetView zoomScale="70" zoomScaleNormal="70" workbookViewId="0">
      <selection activeCell="F5" sqref="F5"/>
    </sheetView>
  </sheetViews>
  <sheetFormatPr defaultRowHeight="14.4" x14ac:dyDescent="0.3"/>
  <cols>
    <col min="1" max="1" width="8.88671875" style="1"/>
    <col min="2" max="2" width="25.21875" style="1" customWidth="1"/>
    <col min="3" max="3" width="11" style="1" bestFit="1" customWidth="1"/>
    <col min="4" max="4" width="9.21875" style="1" customWidth="1"/>
    <col min="5" max="5" width="7.88671875" style="1" customWidth="1"/>
    <col min="6" max="6" width="53.44140625" style="1" customWidth="1"/>
    <col min="7" max="16384" width="8.88671875" style="1"/>
  </cols>
  <sheetData>
    <row r="4" spans="2:6" x14ac:dyDescent="0.3">
      <c r="B4" s="5" t="s">
        <v>43</v>
      </c>
      <c r="C4" s="6" t="s">
        <v>168</v>
      </c>
    </row>
    <row r="5" spans="2:6" x14ac:dyDescent="0.3">
      <c r="B5" s="7" t="s">
        <v>157</v>
      </c>
      <c r="C5" s="8">
        <f>DCF!L10</f>
        <v>127487.1387963673</v>
      </c>
    </row>
    <row r="6" spans="2:6" x14ac:dyDescent="0.3">
      <c r="B6" s="9" t="s">
        <v>158</v>
      </c>
      <c r="C6" s="10">
        <f>Sensitivity!$K$3</f>
        <v>2.5000000000000001E-2</v>
      </c>
    </row>
    <row r="7" spans="2:6" x14ac:dyDescent="0.3">
      <c r="B7" s="11" t="s">
        <v>142</v>
      </c>
      <c r="C7" s="12">
        <f>WACC!L9</f>
        <v>9.486E-2</v>
      </c>
      <c r="F7" s="225"/>
    </row>
    <row r="8" spans="2:6" ht="14.4" customHeight="1" x14ac:dyDescent="0.3">
      <c r="B8" s="9" t="s">
        <v>159</v>
      </c>
      <c r="C8" s="13">
        <f>C5*(1+C6)/(C7-C6)</f>
        <v>1870516.99493668</v>
      </c>
      <c r="F8" s="225"/>
    </row>
    <row r="9" spans="2:6" x14ac:dyDescent="0.3">
      <c r="B9" s="11" t="s">
        <v>160</v>
      </c>
      <c r="C9" s="14">
        <f>DCF!L12</f>
        <v>0.63563390269817965</v>
      </c>
      <c r="F9" s="225"/>
    </row>
    <row r="10" spans="2:6" x14ac:dyDescent="0.3">
      <c r="B10" s="9" t="s">
        <v>161</v>
      </c>
      <c r="C10" s="13">
        <f>C8*C9</f>
        <v>1188964.0175548731</v>
      </c>
      <c r="F10" s="225"/>
    </row>
    <row r="11" spans="2:6" x14ac:dyDescent="0.3">
      <c r="B11" s="11" t="s">
        <v>162</v>
      </c>
      <c r="C11" s="15">
        <f>'Income Statement'!L13</f>
        <v>196993.30637323263</v>
      </c>
      <c r="F11" s="225"/>
    </row>
    <row r="12" spans="2:6" x14ac:dyDescent="0.3">
      <c r="B12" s="9" t="s">
        <v>163</v>
      </c>
      <c r="C12" s="13">
        <f>Assumptions!$C$38</f>
        <v>11</v>
      </c>
      <c r="F12" s="225"/>
    </row>
    <row r="13" spans="2:6" x14ac:dyDescent="0.3">
      <c r="B13" s="11" t="s">
        <v>164</v>
      </c>
      <c r="C13" s="15">
        <f>C12*C11</f>
        <v>2166926.370105559</v>
      </c>
      <c r="F13" s="225"/>
    </row>
    <row r="14" spans="2:6" x14ac:dyDescent="0.3">
      <c r="B14" s="9" t="s">
        <v>165</v>
      </c>
      <c r="C14" s="13">
        <f>C13*C9</f>
        <v>1377371.8654897965</v>
      </c>
      <c r="F14" s="225"/>
    </row>
    <row r="15" spans="2:6" ht="14.4" customHeight="1" x14ac:dyDescent="0.3">
      <c r="B15" s="16" t="s">
        <v>166</v>
      </c>
      <c r="C15" s="17">
        <f>(C13*C7-C5)/(C13+C5)</f>
        <v>3.40250335734852E-2</v>
      </c>
      <c r="D15" t="str">
        <f>IF(C15&gt;0.03,"WARNING: Implied g exceeds 3% ceiling","OK")</f>
        <v>WARNING: Implied g exceeds 3% ceiling</v>
      </c>
    </row>
    <row r="17" spans="2:5" ht="14.4" customHeight="1" x14ac:dyDescent="0.3">
      <c r="B17" s="182" t="s">
        <v>240</v>
      </c>
      <c r="C17" s="183"/>
      <c r="D17" s="183"/>
      <c r="E17" s="184"/>
    </row>
    <row r="18" spans="2:5" x14ac:dyDescent="0.3">
      <c r="B18" s="185"/>
      <c r="C18" s="186"/>
      <c r="D18" s="186"/>
      <c r="E18" s="187"/>
    </row>
    <row r="19" spans="2:5" x14ac:dyDescent="0.3">
      <c r="B19" s="185"/>
      <c r="C19" s="186"/>
      <c r="D19" s="186"/>
      <c r="E19" s="187"/>
    </row>
    <row r="20" spans="2:5" x14ac:dyDescent="0.3">
      <c r="B20" s="185"/>
      <c r="C20" s="186"/>
      <c r="D20" s="186"/>
      <c r="E20" s="187"/>
    </row>
    <row r="21" spans="2:5" x14ac:dyDescent="0.3">
      <c r="B21" s="185"/>
      <c r="C21" s="186"/>
      <c r="D21" s="186"/>
      <c r="E21" s="187"/>
    </row>
    <row r="22" spans="2:5" x14ac:dyDescent="0.3">
      <c r="B22" s="185"/>
      <c r="C22" s="186"/>
      <c r="D22" s="186"/>
      <c r="E22" s="187"/>
    </row>
    <row r="23" spans="2:5" x14ac:dyDescent="0.3">
      <c r="B23" s="185"/>
      <c r="C23" s="186"/>
      <c r="D23" s="186"/>
      <c r="E23" s="187"/>
    </row>
    <row r="24" spans="2:5" x14ac:dyDescent="0.3">
      <c r="B24" s="185"/>
      <c r="C24" s="186"/>
      <c r="D24" s="186"/>
      <c r="E24" s="187"/>
    </row>
    <row r="25" spans="2:5" x14ac:dyDescent="0.3">
      <c r="B25" s="185"/>
      <c r="C25" s="186"/>
      <c r="D25" s="186"/>
      <c r="E25" s="187"/>
    </row>
    <row r="26" spans="2:5" x14ac:dyDescent="0.3">
      <c r="B26" s="185"/>
      <c r="C26" s="186"/>
      <c r="D26" s="186"/>
      <c r="E26" s="187"/>
    </row>
    <row r="27" spans="2:5" x14ac:dyDescent="0.3">
      <c r="B27" s="185"/>
      <c r="C27" s="186"/>
      <c r="D27" s="186"/>
      <c r="E27" s="187"/>
    </row>
    <row r="28" spans="2:5" x14ac:dyDescent="0.3">
      <c r="B28" s="185"/>
      <c r="C28" s="186"/>
      <c r="D28" s="186"/>
      <c r="E28" s="187"/>
    </row>
    <row r="29" spans="2:5" x14ac:dyDescent="0.3">
      <c r="B29" s="185"/>
      <c r="C29" s="186"/>
      <c r="D29" s="186"/>
      <c r="E29" s="187"/>
    </row>
    <row r="30" spans="2:5" x14ac:dyDescent="0.3">
      <c r="B30" s="185"/>
      <c r="C30" s="186"/>
      <c r="D30" s="186"/>
      <c r="E30" s="187"/>
    </row>
    <row r="31" spans="2:5" x14ac:dyDescent="0.3">
      <c r="B31" s="188"/>
      <c r="C31" s="189"/>
      <c r="D31" s="189"/>
      <c r="E31" s="190"/>
    </row>
    <row r="32" spans="2:5" x14ac:dyDescent="0.3">
      <c r="B32" s="172"/>
      <c r="C32" s="172"/>
      <c r="D32" s="172"/>
      <c r="E32" s="172"/>
    </row>
    <row r="33" spans="2:5" x14ac:dyDescent="0.3">
      <c r="B33" s="172"/>
      <c r="C33" s="172"/>
      <c r="D33" s="172"/>
      <c r="E33" s="172"/>
    </row>
  </sheetData>
  <mergeCells count="2">
    <mergeCell ref="F7:F14"/>
    <mergeCell ref="B17:E31"/>
  </mergeCell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7BFB-7AC9-4338-87F5-FE38F128759E}">
  <dimension ref="C2:K23"/>
  <sheetViews>
    <sheetView zoomScale="70" zoomScaleNormal="70" workbookViewId="0">
      <selection activeCell="S16" sqref="S16"/>
    </sheetView>
  </sheetViews>
  <sheetFormatPr defaultRowHeight="14.4" x14ac:dyDescent="0.3"/>
  <cols>
    <col min="1" max="9" width="8.88671875" style="1"/>
    <col min="10" max="10" width="23.21875" style="1" customWidth="1"/>
    <col min="11" max="16384" width="8.88671875" style="1"/>
  </cols>
  <sheetData>
    <row r="2" spans="3:11" x14ac:dyDescent="0.3">
      <c r="C2" s="206" t="s">
        <v>176</v>
      </c>
      <c r="D2" s="206"/>
      <c r="E2" s="206"/>
      <c r="F2" s="206"/>
      <c r="G2" s="206"/>
      <c r="H2" s="206"/>
      <c r="J2" s="6" t="s">
        <v>177</v>
      </c>
      <c r="K2" s="152">
        <v>9.486E-2</v>
      </c>
    </row>
    <row r="3" spans="3:11" x14ac:dyDescent="0.3">
      <c r="C3" s="153">
        <f>DCF!H20</f>
        <v>72.066113356184573</v>
      </c>
      <c r="D3" s="154">
        <v>7.4249999999999997E-2</v>
      </c>
      <c r="E3" s="154">
        <v>8.4250000000000005E-2</v>
      </c>
      <c r="F3" s="154">
        <v>9.486E-2</v>
      </c>
      <c r="G3" s="154">
        <v>0.10485999999999999</v>
      </c>
      <c r="H3" s="155">
        <v>0.11486</v>
      </c>
      <c r="J3" s="156" t="s">
        <v>178</v>
      </c>
      <c r="K3" s="99">
        <v>2.5000000000000001E-2</v>
      </c>
    </row>
    <row r="4" spans="3:11" x14ac:dyDescent="0.3">
      <c r="C4" s="58">
        <v>1.4999999999999999E-2</v>
      </c>
      <c r="D4" s="1">
        <f t="dataTable" ref="D4:H8" dt2D="1" dtr="1" r1="K2" r2="K3"/>
        <v>86.887375420920222</v>
      </c>
      <c r="E4" s="1">
        <v>74.948163014999423</v>
      </c>
      <c r="F4" s="1">
        <v>65.559231401082329</v>
      </c>
      <c r="G4" s="1">
        <v>58.747202712299192</v>
      </c>
      <c r="H4" s="111">
        <v>53.30573537314406</v>
      </c>
    </row>
    <row r="5" spans="3:11" x14ac:dyDescent="0.3">
      <c r="C5" s="157">
        <v>0.02</v>
      </c>
      <c r="D5" s="158">
        <v>92.980297589703383</v>
      </c>
      <c r="E5" s="158">
        <v>79.189712557689433</v>
      </c>
      <c r="F5" s="158">
        <v>68.595370683632709</v>
      </c>
      <c r="G5" s="158">
        <v>61.042488313138783</v>
      </c>
      <c r="H5" s="159">
        <v>55.088028614507984</v>
      </c>
    </row>
    <row r="6" spans="3:11" x14ac:dyDescent="0.3">
      <c r="C6" s="58">
        <v>2.5000000000000001E-2</v>
      </c>
      <c r="D6" s="1">
        <v>100.31036131559986</v>
      </c>
      <c r="E6" s="1">
        <v>84.147135440917836</v>
      </c>
      <c r="F6" s="1">
        <v>72.066113356184573</v>
      </c>
      <c r="G6" s="1">
        <v>63.625187588012878</v>
      </c>
      <c r="H6" s="111">
        <v>57.068662968865887</v>
      </c>
    </row>
    <row r="7" spans="3:11" x14ac:dyDescent="0.3">
      <c r="C7" s="157">
        <v>0.03</v>
      </c>
      <c r="D7" s="158">
        <v>109.29693661797015</v>
      </c>
      <c r="E7" s="158">
        <v>90.018368993865778</v>
      </c>
      <c r="F7" s="158">
        <v>76.071968990893694</v>
      </c>
      <c r="G7" s="158">
        <v>66.55289077350335</v>
      </c>
      <c r="H7" s="159">
        <v>59.282697553527576</v>
      </c>
    </row>
    <row r="8" spans="3:11" x14ac:dyDescent="0.3">
      <c r="C8" s="20">
        <v>3.5000000000000003E-2</v>
      </c>
      <c r="D8" s="22">
        <v>120.57308524578505</v>
      </c>
      <c r="E8" s="22">
        <v>97.081731187006184</v>
      </c>
      <c r="F8" s="22">
        <v>80.74702870757892</v>
      </c>
      <c r="G8" s="22">
        <v>69.899675434157075</v>
      </c>
      <c r="H8" s="21">
        <v>61.773971630383315</v>
      </c>
    </row>
    <row r="10" spans="3:11" ht="14.4" customHeight="1" x14ac:dyDescent="0.3">
      <c r="C10" s="182" t="s">
        <v>256</v>
      </c>
      <c r="D10" s="183"/>
      <c r="E10" s="183"/>
      <c r="F10" s="183"/>
      <c r="G10" s="183"/>
      <c r="H10" s="184"/>
    </row>
    <row r="11" spans="3:11" x14ac:dyDescent="0.3">
      <c r="C11" s="185"/>
      <c r="D11" s="186"/>
      <c r="E11" s="186"/>
      <c r="F11" s="186"/>
      <c r="G11" s="186"/>
      <c r="H11" s="187"/>
      <c r="J11" s="171"/>
    </row>
    <row r="12" spans="3:11" x14ac:dyDescent="0.3">
      <c r="C12" s="185"/>
      <c r="D12" s="186"/>
      <c r="E12" s="186"/>
      <c r="F12" s="186"/>
      <c r="G12" s="186"/>
      <c r="H12" s="187"/>
    </row>
    <row r="13" spans="3:11" x14ac:dyDescent="0.3">
      <c r="C13" s="185"/>
      <c r="D13" s="186"/>
      <c r="E13" s="186"/>
      <c r="F13" s="186"/>
      <c r="G13" s="186"/>
      <c r="H13" s="187"/>
    </row>
    <row r="14" spans="3:11" x14ac:dyDescent="0.3">
      <c r="C14" s="185"/>
      <c r="D14" s="186"/>
      <c r="E14" s="186"/>
      <c r="F14" s="186"/>
      <c r="G14" s="186"/>
      <c r="H14" s="187"/>
    </row>
    <row r="15" spans="3:11" x14ac:dyDescent="0.3">
      <c r="C15" s="185"/>
      <c r="D15" s="186"/>
      <c r="E15" s="186"/>
      <c r="F15" s="186"/>
      <c r="G15" s="186"/>
      <c r="H15" s="187"/>
    </row>
    <row r="16" spans="3:11" x14ac:dyDescent="0.3">
      <c r="C16" s="185"/>
      <c r="D16" s="186"/>
      <c r="E16" s="186"/>
      <c r="F16" s="186"/>
      <c r="G16" s="186"/>
      <c r="H16" s="187"/>
    </row>
    <row r="17" spans="3:8" x14ac:dyDescent="0.3">
      <c r="C17" s="185"/>
      <c r="D17" s="186"/>
      <c r="E17" s="186"/>
      <c r="F17" s="186"/>
      <c r="G17" s="186"/>
      <c r="H17" s="187"/>
    </row>
    <row r="18" spans="3:8" x14ac:dyDescent="0.3">
      <c r="C18" s="185"/>
      <c r="D18" s="186"/>
      <c r="E18" s="186"/>
      <c r="F18" s="186"/>
      <c r="G18" s="186"/>
      <c r="H18" s="187"/>
    </row>
    <row r="19" spans="3:8" x14ac:dyDescent="0.3">
      <c r="C19" s="185"/>
      <c r="D19" s="186"/>
      <c r="E19" s="186"/>
      <c r="F19" s="186"/>
      <c r="G19" s="186"/>
      <c r="H19" s="187"/>
    </row>
    <row r="20" spans="3:8" ht="30.6" customHeight="1" x14ac:dyDescent="0.3">
      <c r="C20" s="185"/>
      <c r="D20" s="186"/>
      <c r="E20" s="186"/>
      <c r="F20" s="186"/>
      <c r="G20" s="186"/>
      <c r="H20" s="187"/>
    </row>
    <row r="21" spans="3:8" x14ac:dyDescent="0.3">
      <c r="C21" s="173"/>
      <c r="D21" s="173"/>
      <c r="E21" s="173"/>
      <c r="F21" s="173"/>
      <c r="G21" s="173"/>
      <c r="H21" s="173"/>
    </row>
    <row r="22" spans="3:8" x14ac:dyDescent="0.3">
      <c r="C22" s="172"/>
      <c r="D22" s="172"/>
      <c r="E22" s="172"/>
      <c r="F22" s="172"/>
      <c r="G22" s="172"/>
      <c r="H22" s="172"/>
    </row>
    <row r="23" spans="3:8" x14ac:dyDescent="0.3">
      <c r="C23" s="172"/>
      <c r="D23" s="172"/>
      <c r="E23" s="172"/>
      <c r="F23" s="172"/>
      <c r="G23" s="172"/>
      <c r="H23" s="172"/>
    </row>
  </sheetData>
  <mergeCells count="2">
    <mergeCell ref="C2:H2"/>
    <mergeCell ref="C10:H20"/>
  </mergeCells>
  <conditionalFormatting sqref="D4:H8">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79B27-F2CC-45B4-B3E0-564EF48AFB6B}">
  <dimension ref="B3:E6"/>
  <sheetViews>
    <sheetView tabSelected="1" zoomScale="69" zoomScaleNormal="100" workbookViewId="0">
      <selection activeCell="I4" sqref="I4"/>
    </sheetView>
  </sheetViews>
  <sheetFormatPr defaultRowHeight="14.4" x14ac:dyDescent="0.3"/>
  <cols>
    <col min="1" max="1" width="8.88671875" style="1"/>
    <col min="2" max="2" width="20.33203125" style="1" customWidth="1"/>
    <col min="3" max="16384" width="8.88671875" style="1"/>
  </cols>
  <sheetData>
    <row r="3" spans="2:5" x14ac:dyDescent="0.3">
      <c r="B3" s="5" t="s">
        <v>179</v>
      </c>
      <c r="C3" s="234" t="s">
        <v>180</v>
      </c>
      <c r="D3" s="235" t="s">
        <v>181</v>
      </c>
      <c r="E3" s="236" t="s">
        <v>258</v>
      </c>
    </row>
    <row r="4" spans="2:5" x14ac:dyDescent="0.3">
      <c r="B4" s="7" t="s">
        <v>182</v>
      </c>
      <c r="C4" s="11">
        <f>DCF!H20*0.9</f>
        <v>64.859502020566111</v>
      </c>
      <c r="D4" s="233">
        <f>DCF!H20*1.1</f>
        <v>79.272724691803035</v>
      </c>
      <c r="E4" s="106">
        <f>D4-C4</f>
        <v>14.413222671236923</v>
      </c>
    </row>
    <row r="5" spans="2:5" x14ac:dyDescent="0.3">
      <c r="B5" s="9" t="s">
        <v>183</v>
      </c>
      <c r="C5" s="9">
        <f>DCF!C23*0.9</f>
        <v>68.216307716113505</v>
      </c>
      <c r="D5" s="226">
        <f>DCF!C23*1.1</f>
        <v>83.375487208583181</v>
      </c>
      <c r="E5" s="237">
        <f t="shared" ref="E5:E6" si="0">D5-C5</f>
        <v>15.159179492469676</v>
      </c>
    </row>
    <row r="6" spans="2:5" x14ac:dyDescent="0.3">
      <c r="B6" s="16" t="s">
        <v>184</v>
      </c>
      <c r="C6" s="161">
        <v>207.41</v>
      </c>
      <c r="D6" s="232">
        <v>207.41</v>
      </c>
      <c r="E6" s="168">
        <v>0.5</v>
      </c>
    </row>
  </sheetData>
  <pageMargins left="0.7" right="0.7" top="0.75" bottom="0.75" header="0.3" footer="0.3"/>
  <pageSetup paperSize="9" orientation="portrait" horizontalDpi="4294967293" verticalDpi="0" r:id="rId1"/>
  <drawing r:id="rId2"/>
</worksheet>
</file>

<file path=docMetadata/LabelInfo.xml><?xml version="1.0" encoding="utf-8"?>
<clbl:labelList xmlns:clbl="http://schemas.microsoft.com/office/2020/mipLabelMetadata">
  <clbl:label id="{377e3d22-4ea1-422d-b0ad-8fcc89406b9e}" enabled="0" method="" siteId="{377e3d22-4ea1-422d-b0ad-8fcc89406b9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Assumptions</vt:lpstr>
      <vt:lpstr>Income Statement</vt:lpstr>
      <vt:lpstr>Balance Sheet</vt:lpstr>
      <vt:lpstr>Cash Flow Statement</vt:lpstr>
      <vt:lpstr>Working Capital Schedule</vt:lpstr>
      <vt:lpstr>PP&amp;E Schedule</vt:lpstr>
      <vt:lpstr>Debt Schedule</vt:lpstr>
      <vt:lpstr>WACC</vt:lpstr>
      <vt:lpstr>DCF</vt:lpstr>
      <vt:lpstr>Terminal Value</vt:lpstr>
      <vt:lpstr>Sensitivity</vt:lpstr>
      <vt:lpstr>Football Field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Redmond</dc:creator>
  <cp:lastModifiedBy>Lewis Redmond</cp:lastModifiedBy>
  <dcterms:created xsi:type="dcterms:W3CDTF">2026-06-11T15:34:56Z</dcterms:created>
  <dcterms:modified xsi:type="dcterms:W3CDTF">2026-06-22T13:17:12Z</dcterms:modified>
</cp:coreProperties>
</file>